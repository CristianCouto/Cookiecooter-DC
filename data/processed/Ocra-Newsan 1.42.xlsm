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istian_Couto\Desktop\Cookiecutter_CC\Cookiecooter-DC\data\processed\"/>
    </mc:Choice>
  </mc:AlternateContent>
  <bookViews>
    <workbookView xWindow="0" yWindow="0" windowWidth="25125" windowHeight="12210" tabRatio="754"/>
  </bookViews>
  <sheets>
    <sheet name="Indice" sheetId="3" r:id="rId1"/>
    <sheet name="Incomp" sheetId="99" state="hidden" r:id="rId2"/>
    <sheet name="diccionario" sheetId="82" r:id="rId3"/>
    <sheet name="Configuración" sheetId="11" state="hidden" r:id="rId4"/>
    <sheet name="Configuración 2" sheetId="23" state="hidden" r:id="rId5"/>
    <sheet name="Configuración 3" sheetId="48" state="hidden" r:id="rId6"/>
    <sheet name="diccionarioold" sheetId="2" state="hidden" r:id="rId7"/>
    <sheet name="datos puesto" sheetId="89" state="hidden" r:id="rId8"/>
    <sheet name="tarea" sheetId="90" state="hidden" r:id="rId9"/>
    <sheet name="Riesgos" sheetId="91" state="hidden" r:id="rId10"/>
    <sheet name="Datos" sheetId="98" r:id="rId11"/>
    <sheet name="P.E.R." sheetId="101" r:id="rId12"/>
    <sheet name="Datos comp" sheetId="92" state="hidden" r:id="rId13"/>
    <sheet name="ValorOcra" sheetId="93" state="hidden" r:id="rId14"/>
    <sheet name="Chequeos" sheetId="94" state="hidden" r:id="rId15"/>
    <sheet name="Combinaciones" sheetId="118" r:id="rId16"/>
    <sheet name="Combinaciones 2" sheetId="120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01" l="1"/>
  <c r="H6" i="101"/>
  <c r="H7" i="101"/>
  <c r="H4" i="101"/>
  <c r="G7" i="101" l="1"/>
  <c r="F7" i="101"/>
  <c r="D6" i="101"/>
  <c r="D7" i="101"/>
  <c r="D5" i="101"/>
  <c r="F6" i="101"/>
  <c r="G6" i="101"/>
  <c r="E7" i="101" l="1"/>
  <c r="C7" i="101" s="1"/>
  <c r="E6" i="101"/>
  <c r="C6" i="101" s="1"/>
  <c r="G5" i="101"/>
  <c r="F5" i="101"/>
  <c r="G4" i="101"/>
  <c r="F4" i="101"/>
  <c r="E4" i="101" l="1"/>
  <c r="C4" i="101" s="1"/>
  <c r="E5" i="101"/>
  <c r="C5" i="101" s="1"/>
</calcChain>
</file>

<file path=xl/sharedStrings.xml><?xml version="1.0" encoding="utf-8"?>
<sst xmlns="http://schemas.openxmlformats.org/spreadsheetml/2006/main" count="4301" uniqueCount="1097">
  <si>
    <t>f56</t>
  </si>
  <si>
    <t>f57</t>
  </si>
  <si>
    <t>f58</t>
  </si>
  <si>
    <t>f59</t>
  </si>
  <si>
    <t>X</t>
  </si>
  <si>
    <t>k5</t>
  </si>
  <si>
    <t>Planta</t>
  </si>
  <si>
    <t>e9</t>
  </si>
  <si>
    <t>descripción tarea</t>
  </si>
  <si>
    <t>k29</t>
  </si>
  <si>
    <t>tiempo efectivo de trabajo</t>
  </si>
  <si>
    <t>f30</t>
  </si>
  <si>
    <t>tiempo de ciclo</t>
  </si>
  <si>
    <t>datos puesto</t>
  </si>
  <si>
    <t>i7</t>
  </si>
  <si>
    <t>linea</t>
  </si>
  <si>
    <t>tarea</t>
  </si>
  <si>
    <t>f41</t>
  </si>
  <si>
    <t>i41</t>
  </si>
  <si>
    <t>usa Izquierda</t>
  </si>
  <si>
    <t>Usa Derecha</t>
  </si>
  <si>
    <t>Bilateral</t>
  </si>
  <si>
    <t>l41</t>
  </si>
  <si>
    <t>Cantidad acciones derecha en el ciclo</t>
  </si>
  <si>
    <t>Cantidad acciones izquierda en el ciclo</t>
  </si>
  <si>
    <t>h43</t>
  </si>
  <si>
    <t>l43</t>
  </si>
  <si>
    <t>acciones dinamicas</t>
  </si>
  <si>
    <t>acciones estaticas</t>
  </si>
  <si>
    <t>frecuencia de acciones en el ciclo izquierdo</t>
  </si>
  <si>
    <t>i43</t>
  </si>
  <si>
    <t>frecuencia de acciones en el ciclo derecha</t>
  </si>
  <si>
    <t>m43</t>
  </si>
  <si>
    <t>H49</t>
  </si>
  <si>
    <t>H50</t>
  </si>
  <si>
    <t>Texto</t>
  </si>
  <si>
    <t>Numero</t>
  </si>
  <si>
    <t>2 decimales</t>
  </si>
  <si>
    <t>i49</t>
  </si>
  <si>
    <t>i50</t>
  </si>
  <si>
    <t>Derecha - presa estatica  2/3 ciclo - Si</t>
  </si>
  <si>
    <t>Derecha - presa estatica  2/3 ciclo - NO</t>
  </si>
  <si>
    <t>Derecha - presa estatica  3/3 ciclo - Si</t>
  </si>
  <si>
    <t>Derecha - presa estatica  3/3 ciclo - NO</t>
  </si>
  <si>
    <t>izquierda - presa estatica  2/3 ciclo - Si</t>
  </si>
  <si>
    <t>izquierda - presa estatica  2/3 ciclo - NO</t>
  </si>
  <si>
    <t>izquierda - presa estatica  3/3 ciclo - Si</t>
  </si>
  <si>
    <t>izquierda - presa estatica  3/3 ciclo - NO</t>
  </si>
  <si>
    <t>k49</t>
  </si>
  <si>
    <t>l49</t>
  </si>
  <si>
    <t>k50</t>
  </si>
  <si>
    <t>l50</t>
  </si>
  <si>
    <t>Evaluación de Riesgo</t>
  </si>
  <si>
    <t>postura forzada</t>
  </si>
  <si>
    <t>dx - 1/3 tiempo - pinza</t>
  </si>
  <si>
    <t>dx - 1/2 tiempo - pinza</t>
  </si>
  <si>
    <t>dx - 2/3 tiempo - pinza</t>
  </si>
  <si>
    <t>dx - 1/1 - pinza</t>
  </si>
  <si>
    <t>e56</t>
  </si>
  <si>
    <t>h56</t>
  </si>
  <si>
    <t>i56</t>
  </si>
  <si>
    <t>k56</t>
  </si>
  <si>
    <t>dx - casi nada - pinza</t>
  </si>
  <si>
    <t>dx - casi nada - hombro alto</t>
  </si>
  <si>
    <t>dx - 1/3 tiempo - hombro alto</t>
  </si>
  <si>
    <t>dx - 1/2 tiempo - hombro alto</t>
  </si>
  <si>
    <t>dx - 2/3 tiempo - hombro alto</t>
  </si>
  <si>
    <t>dx - 1/1 - hombro alto</t>
  </si>
  <si>
    <t>e57</t>
  </si>
  <si>
    <t>h57</t>
  </si>
  <si>
    <t>i57</t>
  </si>
  <si>
    <t>k57</t>
  </si>
  <si>
    <t>dx - casi nada - muñeca</t>
  </si>
  <si>
    <t>dx - 1/3 tiempo - muñeca</t>
  </si>
  <si>
    <t>dx - 1/2 tiempo - muñeca</t>
  </si>
  <si>
    <t>dx - 2/3 tiempo - muñeca</t>
  </si>
  <si>
    <t>dx - 1/1 - muñeca</t>
  </si>
  <si>
    <t>e58</t>
  </si>
  <si>
    <t>h58</t>
  </si>
  <si>
    <t>i58</t>
  </si>
  <si>
    <t>k58</t>
  </si>
  <si>
    <t>e59</t>
  </si>
  <si>
    <t>h59</t>
  </si>
  <si>
    <t>i59</t>
  </si>
  <si>
    <t>k59</t>
  </si>
  <si>
    <t>dx - casi nada - codo</t>
  </si>
  <si>
    <t>dx - 1/3 tiempo - codo</t>
  </si>
  <si>
    <t>dx - 1/2 tiempo - codo</t>
  </si>
  <si>
    <t>dx - 2/3 tiempo - codo</t>
  </si>
  <si>
    <t>dx - 1/1 - codo</t>
  </si>
  <si>
    <t>ix - casi nada - pinza</t>
  </si>
  <si>
    <t>ix - 1/3 tiempo - pinza</t>
  </si>
  <si>
    <t>ix - 1/2 tiempo - pinza</t>
  </si>
  <si>
    <t>ix - 2/3 tiempo - pinza</t>
  </si>
  <si>
    <t>ix - 1/1 - pinza</t>
  </si>
  <si>
    <t>ix - casi nada - hombro alto</t>
  </si>
  <si>
    <t>ix - 1/3 tiempo - hombro alto</t>
  </si>
  <si>
    <t>ix - 1/2 tiempo - hombro alto</t>
  </si>
  <si>
    <t>ix - 2/3 tiempo - hombro alto</t>
  </si>
  <si>
    <t>ix - 1/1 - hombro alto</t>
  </si>
  <si>
    <t>ix - casi nada - muñeca</t>
  </si>
  <si>
    <t>ix - 1/3 tiempo - muñeca</t>
  </si>
  <si>
    <t>ix - 1/2 tiempo - muñeca</t>
  </si>
  <si>
    <t>ix - 2/3 tiempo - muñeca</t>
  </si>
  <si>
    <t>ix - 1/1 - muñeca</t>
  </si>
  <si>
    <t>ix - casi nada - codo</t>
  </si>
  <si>
    <t>ix - 1/3 tiempo - codo</t>
  </si>
  <si>
    <t>ix - 1/2 tiempo - codo</t>
  </si>
  <si>
    <t>ix - 2/3 tiempo - codo</t>
  </si>
  <si>
    <t>ix - 1/1 - codo</t>
  </si>
  <si>
    <t>e64</t>
  </si>
  <si>
    <t>f64</t>
  </si>
  <si>
    <t>h64</t>
  </si>
  <si>
    <t>i64</t>
  </si>
  <si>
    <t>k64</t>
  </si>
  <si>
    <t>e65</t>
  </si>
  <si>
    <t>f65</t>
  </si>
  <si>
    <t>h65</t>
  </si>
  <si>
    <t>i65</t>
  </si>
  <si>
    <t>k65</t>
  </si>
  <si>
    <t>e66</t>
  </si>
  <si>
    <t>f66</t>
  </si>
  <si>
    <t>h66</t>
  </si>
  <si>
    <t>i66</t>
  </si>
  <si>
    <t>k66</t>
  </si>
  <si>
    <t>e67</t>
  </si>
  <si>
    <t>f67</t>
  </si>
  <si>
    <t>h67</t>
  </si>
  <si>
    <t>i67</t>
  </si>
  <si>
    <t>k67</t>
  </si>
  <si>
    <t>x</t>
  </si>
  <si>
    <t>factores complentarios</t>
  </si>
  <si>
    <t>dx - martillo</t>
  </si>
  <si>
    <t>ix - martillo</t>
  </si>
  <si>
    <t>l83</t>
  </si>
  <si>
    <t>m83</t>
  </si>
  <si>
    <t>dx - golpes mano</t>
  </si>
  <si>
    <t>ix - golpes mano</t>
  </si>
  <si>
    <t>l84</t>
  </si>
  <si>
    <t>m84</t>
  </si>
  <si>
    <t>dx - vibración</t>
  </si>
  <si>
    <t>l85</t>
  </si>
  <si>
    <t>m85</t>
  </si>
  <si>
    <t>ix - vibración</t>
  </si>
  <si>
    <t>ritmo - ajustable</t>
  </si>
  <si>
    <t>g87</t>
  </si>
  <si>
    <t>i87</t>
  </si>
  <si>
    <t>ritmo - lento</t>
  </si>
  <si>
    <t>ritmo - rapidp</t>
  </si>
  <si>
    <t>l87</t>
  </si>
  <si>
    <t>indices ponderados</t>
  </si>
  <si>
    <t>dx - Ocra</t>
  </si>
  <si>
    <t>h96</t>
  </si>
  <si>
    <t>h97</t>
  </si>
  <si>
    <t>ix - Ocra</t>
  </si>
  <si>
    <t>Linea</t>
  </si>
  <si>
    <t>Nombre de Pestaña</t>
  </si>
  <si>
    <t>Celdas a Extraer</t>
  </si>
  <si>
    <t>Encabezados</t>
  </si>
  <si>
    <t>Id_archivo</t>
  </si>
  <si>
    <t>Nombre_archivo</t>
  </si>
  <si>
    <t>celda</t>
  </si>
  <si>
    <t>nombre campo plla</t>
  </si>
  <si>
    <t>Descripción</t>
  </si>
  <si>
    <t>Nombre ampliado</t>
  </si>
  <si>
    <t>TipoDatos</t>
  </si>
  <si>
    <t>N_Planta</t>
  </si>
  <si>
    <t>Tarea_desc</t>
  </si>
  <si>
    <t>Puesto_tiempo</t>
  </si>
  <si>
    <t>Ciclo_tiempo</t>
  </si>
  <si>
    <t>IX</t>
  </si>
  <si>
    <t>BX</t>
  </si>
  <si>
    <t>DX_acciones</t>
  </si>
  <si>
    <t>IX_acciones</t>
  </si>
  <si>
    <t>DX_frec</t>
  </si>
  <si>
    <t>IX_Frec</t>
  </si>
  <si>
    <t>Nombre de Nueva Pestaña</t>
  </si>
  <si>
    <t>Encabezados a Copiar</t>
  </si>
  <si>
    <t>Datos</t>
  </si>
  <si>
    <t>Riesgos</t>
  </si>
  <si>
    <t>Dx_pres_2_No</t>
  </si>
  <si>
    <t>Dx_pres_2_Si</t>
  </si>
  <si>
    <t>Dx_pres_3_Si</t>
  </si>
  <si>
    <t>Dx_pres_3_No</t>
  </si>
  <si>
    <t>Ix_pres_2_Si</t>
  </si>
  <si>
    <t>Ix_pres_2_No</t>
  </si>
  <si>
    <t>Ix_pres_3_Si</t>
  </si>
  <si>
    <t>Ix_pres_3_No</t>
  </si>
  <si>
    <t>Pinza_dx_an</t>
  </si>
  <si>
    <t>Pinza_dx_13</t>
  </si>
  <si>
    <t>Pinza_dx_12</t>
  </si>
  <si>
    <t>Pinza_dx_23</t>
  </si>
  <si>
    <t>Pinza_dx_11</t>
  </si>
  <si>
    <t>Hombro_dx_an</t>
  </si>
  <si>
    <t>Hombro_dx_13</t>
  </si>
  <si>
    <t>Hombro_dx_12</t>
  </si>
  <si>
    <t>Hombro_dx_23</t>
  </si>
  <si>
    <t>Hombro_dx_11</t>
  </si>
  <si>
    <t>Muñeca_dx_an</t>
  </si>
  <si>
    <t>Muñeca_dx_13</t>
  </si>
  <si>
    <t>Muñeca_dx_12</t>
  </si>
  <si>
    <t>Muñeca_dx_23</t>
  </si>
  <si>
    <t>Muñeca_dx_11</t>
  </si>
  <si>
    <t>Codo_dx_an</t>
  </si>
  <si>
    <t>Codo_dx_13</t>
  </si>
  <si>
    <t>Codo_dx_12</t>
  </si>
  <si>
    <t>Codo_dx_23</t>
  </si>
  <si>
    <t>Codo_dx_11</t>
  </si>
  <si>
    <t>Pinza_ix_an</t>
  </si>
  <si>
    <t>Pinza_ix_13</t>
  </si>
  <si>
    <t>Pinza_ix_12</t>
  </si>
  <si>
    <t>Pinza_ix_23</t>
  </si>
  <si>
    <t>Pinza_ix_11</t>
  </si>
  <si>
    <t>Hombro_ix_an</t>
  </si>
  <si>
    <t>Hombro_ix_13</t>
  </si>
  <si>
    <t>Hombro_ix_12</t>
  </si>
  <si>
    <t>Hombro_ix_23</t>
  </si>
  <si>
    <t>Hombro_ix_11</t>
  </si>
  <si>
    <t>Muñeca_ix_an</t>
  </si>
  <si>
    <t>Muñeca_ix_13</t>
  </si>
  <si>
    <t>Muñeca_ix_12</t>
  </si>
  <si>
    <t>Muñeca_ix_23</t>
  </si>
  <si>
    <t>Muñeca_ix_11</t>
  </si>
  <si>
    <t>Codo_ix_an</t>
  </si>
  <si>
    <t>Codo_ix_13</t>
  </si>
  <si>
    <t>Codo_ix_12</t>
  </si>
  <si>
    <t>Codo_ix_23</t>
  </si>
  <si>
    <t>Codo_ix_11</t>
  </si>
  <si>
    <t>dx_martillo</t>
  </si>
  <si>
    <t>ix_martillo</t>
  </si>
  <si>
    <t>dx_golpes</t>
  </si>
  <si>
    <t>ix_golpes</t>
  </si>
  <si>
    <t>dx_vibra</t>
  </si>
  <si>
    <t>ix_vibra</t>
  </si>
  <si>
    <t>ritmo_ajust</t>
  </si>
  <si>
    <t>ritmo_lento</t>
  </si>
  <si>
    <t>ritmo_rapido</t>
  </si>
  <si>
    <t>dx_ocra</t>
  </si>
  <si>
    <t>ix_ocra</t>
  </si>
  <si>
    <t>Datos comp</t>
  </si>
  <si>
    <t>ValorOcra</t>
  </si>
  <si>
    <t>Diccionario</t>
  </si>
  <si>
    <t>DX</t>
  </si>
  <si>
    <t>grupo</t>
  </si>
  <si>
    <t>n127</t>
  </si>
  <si>
    <t>postura</t>
  </si>
  <si>
    <t>dinamica/estatica</t>
  </si>
  <si>
    <t>n129</t>
  </si>
  <si>
    <t>bipedestacion</t>
  </si>
  <si>
    <t>a pie</t>
  </si>
  <si>
    <t>p129</t>
  </si>
  <si>
    <t>sedentacion</t>
  </si>
  <si>
    <t>sentado</t>
  </si>
  <si>
    <t>n131</t>
  </si>
  <si>
    <t>n133</t>
  </si>
  <si>
    <t>pinza_fina</t>
  </si>
  <si>
    <t>pinza fina</t>
  </si>
  <si>
    <t>tiron</t>
  </si>
  <si>
    <t>n135</t>
  </si>
  <si>
    <t>prension palmar</t>
  </si>
  <si>
    <t>p135</t>
  </si>
  <si>
    <t>palmar</t>
  </si>
  <si>
    <t>pulgar</t>
  </si>
  <si>
    <t>prension pulgar</t>
  </si>
  <si>
    <t>n137</t>
  </si>
  <si>
    <t>conexionado</t>
  </si>
  <si>
    <t>n139</t>
  </si>
  <si>
    <t>flexión</t>
  </si>
  <si>
    <t>n141</t>
  </si>
  <si>
    <t>vibraciones</t>
  </si>
  <si>
    <t>n143</t>
  </si>
  <si>
    <t>manual</t>
  </si>
  <si>
    <t>n145</t>
  </si>
  <si>
    <t>fregar</t>
  </si>
  <si>
    <t>toma_ix</t>
  </si>
  <si>
    <t>toma_dx</t>
  </si>
  <si>
    <t>n147</t>
  </si>
  <si>
    <t>n149</t>
  </si>
  <si>
    <t>E5,K5,K7,N7,E9,O11,O12,E16,K16,K18,K20,K22,K24,K26,F29,K29,k31,F30,F31,M32,F32,K32,F41,I41,L41,H43,I43,L43,M43,H46,I46,H49,I49,K49,L49,H50,I50,K50,L50,E56,F56,H56,I56,K56,E57,F57,H57,I57,K57,E58,F58,H58,I58,K58,E59,F59,H59,I59,K59,G60,J60,M60,J61,M61,E64,F64,H64,I64,K64,E65,F65,H65,I65,K65,E66,F66,H66,I66,K66,E67,F67,H67,I67,K67,G68,J68,M68,J69,M69,E73,F73,G73,H73,I73,E74,G74,I74,L74,E75,G75,I75,L75,E78,F78,G78,H78,I78,E79,G79,I79,L79,E80,G80,I80,L80,L83,L84,L85,L86,G87,I87,L87,M83,M84,M85,M86,D94,D95,D97,D98,H96,H97,D106,E106,F106,G106,I106,J106,K106,L106,M106,N106,O106,P106,D107,E107,F107,G107,I107,J107,K107,L107,M107,N107,O107,P107,O16,O18,O20,O29,O45,P45,O62,O70,O76,O81,O89,P89,N127,P127,N129,P129,N131,N133,N135,P135,N137,N139,N141,N143,N145,N147,P147,N149</t>
  </si>
  <si>
    <t>Empresa</t>
  </si>
  <si>
    <t>Departamento</t>
  </si>
  <si>
    <t>Nro_Emp_H</t>
  </si>
  <si>
    <t>Nro_Emp_M</t>
  </si>
  <si>
    <t>Pre_Tar_Rep_SI</t>
  </si>
  <si>
    <t>Pre_Tar_Rep_NO</t>
  </si>
  <si>
    <t>Dur_Tur_Of</t>
  </si>
  <si>
    <t>Dur_Tur_Ef</t>
  </si>
  <si>
    <t>Tiem_Tran_No_Rep</t>
  </si>
  <si>
    <t>Num_Pau_Efec</t>
  </si>
  <si>
    <t>Tiem_Efec_Tot_Tot_Pau</t>
  </si>
  <si>
    <t>Tiem_Efec_Pau_Com</t>
  </si>
  <si>
    <t>Nro_Pau_30_Min</t>
  </si>
  <si>
    <t>Nro_Un_Trab_Turn</t>
  </si>
  <si>
    <t>Tiem_Net_Trab_Repet</t>
  </si>
  <si>
    <t>Tiem_Cicl_Net_Calc</t>
  </si>
  <si>
    <t>Tiem_Clic_Obs</t>
  </si>
  <si>
    <t>Tiem_Obs_Repre</t>
  </si>
  <si>
    <t>Min_NO_Just</t>
  </si>
  <si>
    <t>Pre_Tiem_Recup_Dentro_Cicl</t>
  </si>
  <si>
    <t>Dif_Tiem_Cicl_Obs_y_Est</t>
  </si>
  <si>
    <t>Ext_Ana_Dx</t>
  </si>
  <si>
    <t>Ext_Ana_ix</t>
  </si>
  <si>
    <t>Ext_Ana_Bx</t>
  </si>
  <si>
    <t>DX_Acciones</t>
  </si>
  <si>
    <t>IX_Acciones</t>
  </si>
  <si>
    <t>DX_Frec</t>
  </si>
  <si>
    <t>Pos_Brev_Int_NO</t>
  </si>
  <si>
    <t>Pos_Brev_Int_SI</t>
  </si>
  <si>
    <t>DX_Pres_2_NO</t>
  </si>
  <si>
    <t>DX_Pres_2_SI</t>
  </si>
  <si>
    <t>IX_Pres_2_NO</t>
  </si>
  <si>
    <t>IX_Pres_2_SI</t>
  </si>
  <si>
    <t>IX_Pres_3_NO</t>
  </si>
  <si>
    <t>IX_Pres_3_SI</t>
  </si>
  <si>
    <t>Post_Forz_Ext_DX_Mano_Menos</t>
  </si>
  <si>
    <t>Post_Forz_Ext_DX_Mano_1/3</t>
  </si>
  <si>
    <t>Post_Forz_Ext_DX_Mano_1/2</t>
  </si>
  <si>
    <t>Post_Forz_Ext_DX_Mano_2/3</t>
  </si>
  <si>
    <t>Post_Forz_Ext_DX_Mano_Todo</t>
  </si>
  <si>
    <t>Post_Forz_Ext_DX_Brazo_Menos</t>
  </si>
  <si>
    <t>Post_Forz_Ext_DX_Brazo_1/3</t>
  </si>
  <si>
    <t>Post_Forz_Ext_DX_Brazo_1/2</t>
  </si>
  <si>
    <t>Post_Forz_Ext_DX_Brazo_2/3</t>
  </si>
  <si>
    <t>Post_Forz_Ext_DX_Brazo_Todo</t>
  </si>
  <si>
    <t>Post_Forz_Ext_DX_mu eca_Menos</t>
  </si>
  <si>
    <t>Post_Forz_Ext_DX_mu eca_1/3</t>
  </si>
  <si>
    <t>Post_Forz_Ext_DX_mu eca_1/2</t>
  </si>
  <si>
    <t>Post_Forz_Ext_DX_mu eca_2/3</t>
  </si>
  <si>
    <t>Post_Forz_Ext_DX_mu eca_Todo</t>
  </si>
  <si>
    <t>Post_Forz_Ext_DX_Codo_Menos</t>
  </si>
  <si>
    <t>Post_Forz_Ext_DX_Codo_1/3</t>
  </si>
  <si>
    <t>Post_Forz_Ext_DX_Codo_1/2</t>
  </si>
  <si>
    <t>Post_Forz_Ext_DX_Codo_2/3</t>
  </si>
  <si>
    <t>Post_Forz_Ext_DX_Codo_Todo</t>
  </si>
  <si>
    <t>Est_Ext_Sup_DX_Sup_15s</t>
  </si>
  <si>
    <t>Est_Ext_Sup_DX_Entre_9_15s</t>
  </si>
  <si>
    <t>Est_Ext_Sup_DX_Inf_8s</t>
  </si>
  <si>
    <t>Est_Ext_Sup_DX_Frc_Rep_Mas_1/2</t>
  </si>
  <si>
    <t>Est_Ext_Sup_DX_Frc_Rep_Casi_Todo_Tiemp</t>
  </si>
  <si>
    <t>Post_Forz_Ext_IX_Mano_Menos</t>
  </si>
  <si>
    <t>Post_Forz_Ext_IX_Mano_1/3</t>
  </si>
  <si>
    <t>Post_Forz_Ext_IX_Mano_1/2</t>
  </si>
  <si>
    <t>Post_Forz_Ext_IX_Mano_2/3</t>
  </si>
  <si>
    <t>Post_Forz_Ext_IX_Mano_Todo</t>
  </si>
  <si>
    <t>Post_Forz_Ext_IX_Brazo_Menos</t>
  </si>
  <si>
    <t>Post_Forz_Ext_IX_Brazo_1/3</t>
  </si>
  <si>
    <t>Post_Forz_Ext_IX_Brazo_1/2</t>
  </si>
  <si>
    <t>Post_Forz_Ext_IX_Brazo_2/3</t>
  </si>
  <si>
    <t>Post_Forz_Ext_IX_Brazo_Todo</t>
  </si>
  <si>
    <t>Post_Forz_Ext_IX_mu eca_Menos</t>
  </si>
  <si>
    <t>Post_Forz_Ext_IX_mu eca_1/3</t>
  </si>
  <si>
    <t>Post_Forz_Ext_IX_mu eca_1/2</t>
  </si>
  <si>
    <t>Post_Forz_Ext_IX_mu eca_2/3</t>
  </si>
  <si>
    <t>Post_Forz_Ext_IX_mu eca_Todo</t>
  </si>
  <si>
    <t>Post_Forz_Ext_IX_Codo_Menos</t>
  </si>
  <si>
    <t>Post_Forz_Ext_IX_Codo_1/3</t>
  </si>
  <si>
    <t>Post_Forz_Ext_IX_Codo_1/2</t>
  </si>
  <si>
    <t>Post_Forz_Ext_IX_Codo_2/3</t>
  </si>
  <si>
    <t>Post_Forz_Ext_IX_Codo_Todo</t>
  </si>
  <si>
    <t>Est_Ext_Sup_IX_Sup_15s</t>
  </si>
  <si>
    <t>Est_Ext_Sup_IX_Entre_9_15s</t>
  </si>
  <si>
    <t>Est_Ext_Sup_IX_Inf_8s</t>
  </si>
  <si>
    <t>Est_Ext_Sup_IX_Frc_Rep_Mas_1/2</t>
  </si>
  <si>
    <t>Est_Ext_Sup_IX_Frc_Rep_Casi_Todo_Tiemp</t>
  </si>
  <si>
    <t>Fuer_Extr_DX_Uso_Mod_Menos</t>
  </si>
  <si>
    <t>Fuer_Extr_DX_Uso_Mod_1/3</t>
  </si>
  <si>
    <t>Fuer_Extr_DX_Uso_Mod_1/2</t>
  </si>
  <si>
    <t>Fuer_Extr_DX_Uso_Mod_2/3</t>
  </si>
  <si>
    <t>Fuer_Extr_DX_Uso_Mod_Todo</t>
  </si>
  <si>
    <t>Fuer_Extr_DX_Int_1_2 seg_cada 10m</t>
  </si>
  <si>
    <t>Fuer_Ext_Dx_Int_1%_Tiemp</t>
  </si>
  <si>
    <t>Fuer_Ext_Dx_Int_5%_Tiemp</t>
  </si>
  <si>
    <t>Fuer_Ext_Dx_Int_mas_10%_Tiemp</t>
  </si>
  <si>
    <t>Fuer_Extr_DX_Muy_Int_1_2 seg_cada 10m</t>
  </si>
  <si>
    <t>Fuer_Ext_Dx_Muy_Int_1%_Tiemp</t>
  </si>
  <si>
    <t>Fuer_Ext_Dx_Muy_Int_5%_Tiemp</t>
  </si>
  <si>
    <t>Fuer_Ext_Dx_Muy_Int_mas_10%_Tiemp</t>
  </si>
  <si>
    <t>Fuer_Extr_IX_Uso_Mod_Menos</t>
  </si>
  <si>
    <t>Fuer_Extr_IX_Uso_Mod_1/3</t>
  </si>
  <si>
    <t>Fuer_Extr_IX_Uso_Mod_1/2</t>
  </si>
  <si>
    <t>Fuer_Extr_IX_Uso_Mod_2/3</t>
  </si>
  <si>
    <t>Fuer_Extr_IX_Uso_Mod_Todo</t>
  </si>
  <si>
    <t>Fuer_Extr_IX_Int_1_2 seg_cada 10m</t>
  </si>
  <si>
    <t>Fuer_Ext_IX_Int_1%_Tiemp</t>
  </si>
  <si>
    <t>Fuer_Ext_IX_Int_5%_Tiemp</t>
  </si>
  <si>
    <t>Fuer_Ext_IX_Int_mas_10%_Tiemp</t>
  </si>
  <si>
    <t>Fuer_Extr_IX_Muy_Int_1_2 seg_cada 10m</t>
  </si>
  <si>
    <t>Fuer_Ext_IX_Muy_Int_1%_Tiemp</t>
  </si>
  <si>
    <t>Fuer_Ext_IX_Muy_Int_5%_Tiemp</t>
  </si>
  <si>
    <t>Fuer_Ext_IX_Muy_Int_mas_10%_Tiemp</t>
  </si>
  <si>
    <t>FC_Uso_Martillo_DX</t>
  </si>
  <si>
    <t>FC_Uso_Manos_golpes_DX</t>
  </si>
  <si>
    <t>FC_Uso_Vibraciones_DX</t>
  </si>
  <si>
    <t>FC_Uso_Otros_DX</t>
  </si>
  <si>
    <t>Ritmo_Imp_Pos_Ajus</t>
  </si>
  <si>
    <t>Ritmo_Imp_Vel_Lenta</t>
  </si>
  <si>
    <t>Ritma_No_Ajustable</t>
  </si>
  <si>
    <t>FC_Uso_Martillo_IX</t>
  </si>
  <si>
    <t>FC_Uso_Manos_golpes_IX</t>
  </si>
  <si>
    <t>FC_Uso_Vibraciones_IX</t>
  </si>
  <si>
    <t>FC_Uso_Otros_IX</t>
  </si>
  <si>
    <t>Ind_Parcial_DX</t>
  </si>
  <si>
    <t>Ind_Parcial_IX</t>
  </si>
  <si>
    <t>Ind_Intrinseco_Dx</t>
  </si>
  <si>
    <t>Ind_Intrinseco_IX</t>
  </si>
  <si>
    <t>Ind_Ponderado_Dx</t>
  </si>
  <si>
    <t>Ind_Ponderado_IX</t>
  </si>
  <si>
    <t>Mult_Recuperacion_DX</t>
  </si>
  <si>
    <t>Recup_DX</t>
  </si>
  <si>
    <t>Frec_DX</t>
  </si>
  <si>
    <t>Fuerza_DX</t>
  </si>
  <si>
    <t>Hombro_DX</t>
  </si>
  <si>
    <t>Codo_DX</t>
  </si>
  <si>
    <t>Mu eca_DX</t>
  </si>
  <si>
    <t>Mano_DX</t>
  </si>
  <si>
    <t>Estereotipo_DX</t>
  </si>
  <si>
    <t>Total_Post_DX</t>
  </si>
  <si>
    <t>FC_DX</t>
  </si>
  <si>
    <t>Punt_Final_Ocra_DX</t>
  </si>
  <si>
    <t>Mult_Recuperacion_IX</t>
  </si>
  <si>
    <t>Recup_IX</t>
  </si>
  <si>
    <t>Frec_IX</t>
  </si>
  <si>
    <t>Fuerza_IX</t>
  </si>
  <si>
    <t>Hombro_IX</t>
  </si>
  <si>
    <t>Codo_IX</t>
  </si>
  <si>
    <t>Mu eca_IX</t>
  </si>
  <si>
    <t>Mano_IX</t>
  </si>
  <si>
    <t>Estereotipo_IX</t>
  </si>
  <si>
    <t>Total_Post_IX</t>
  </si>
  <si>
    <t>FC_IX</t>
  </si>
  <si>
    <t>Punt_Final_Ocra_IX</t>
  </si>
  <si>
    <t>Hs_Sin_Adec_Recup_Aut</t>
  </si>
  <si>
    <t>Multiplicador_Recup_Aut</t>
  </si>
  <si>
    <t>Hs_Sin_Adec_Recup_Manual</t>
  </si>
  <si>
    <t>Multiplicador_Duraci n</t>
  </si>
  <si>
    <t>Punt_Frec_DX</t>
  </si>
  <si>
    <t>Punt_Frec_IX</t>
  </si>
  <si>
    <t>Punt_Postura_DX</t>
  </si>
  <si>
    <t>Punt_Postura_IX</t>
  </si>
  <si>
    <t>Punt_Fuerz_DX</t>
  </si>
  <si>
    <t>Punt_Fuerz_IX</t>
  </si>
  <si>
    <t>Punt_Fact_Complem_DX</t>
  </si>
  <si>
    <t>Punt_Fact_Complem_IX</t>
  </si>
  <si>
    <t>Chek_AC_PP_Estatico</t>
  </si>
  <si>
    <t>Chek_AC_PP_Din mico</t>
  </si>
  <si>
    <t>Chek_AC_PP_Bipedestaci n</t>
  </si>
  <si>
    <t>Chek_AC_PP_Sedestaci n</t>
  </si>
  <si>
    <t>Chek_AC_PP_Pnz_Fina</t>
  </si>
  <si>
    <t>Chek_AC_PP_Tiron</t>
  </si>
  <si>
    <t>Chek_AC_PP_Pren_Palmar</t>
  </si>
  <si>
    <t>Chek_AC_PP_Pren_Pulgar</t>
  </si>
  <si>
    <t>Chek_AC_PP_Conexionado</t>
  </si>
  <si>
    <t>Chek_AC_PP_Flex_Mu eca</t>
  </si>
  <si>
    <t>Chek_AC_PP_Vibraciones</t>
  </si>
  <si>
    <t>Chek_AC_PP_Manual</t>
  </si>
  <si>
    <t>Chek_AC_PP_Fregar</t>
  </si>
  <si>
    <t>Chek_AC_PP_Toma_IX</t>
  </si>
  <si>
    <t>Chek_AC_PP_Toma_DX</t>
  </si>
  <si>
    <t>Chek_AC_PP_Toma_BX</t>
  </si>
  <si>
    <t>Planta 3 y 4</t>
  </si>
  <si>
    <t>Cubierta frontal 1</t>
  </si>
  <si>
    <t>Cubierta frontal 2</t>
  </si>
  <si>
    <t>Cubierta frontal 3</t>
  </si>
  <si>
    <t>Montaje final 1</t>
  </si>
  <si>
    <t>Montaje final 10</t>
  </si>
  <si>
    <t>Montaje final 11</t>
  </si>
  <si>
    <t>Montaje final 12</t>
  </si>
  <si>
    <t>Montaje final 13</t>
  </si>
  <si>
    <t>Montaje final 14</t>
  </si>
  <si>
    <t>Montaje final 15</t>
  </si>
  <si>
    <t>Montaje final 16</t>
  </si>
  <si>
    <t>Montaje final 17</t>
  </si>
  <si>
    <t>Montaje final 2</t>
  </si>
  <si>
    <t>Montaje final 3</t>
  </si>
  <si>
    <t>Montaje final 4</t>
  </si>
  <si>
    <t>Montaje final 5</t>
  </si>
  <si>
    <t>Montaje final 6</t>
  </si>
  <si>
    <t>Montaje final 7</t>
  </si>
  <si>
    <t>Montaje final 8</t>
  </si>
  <si>
    <t>Montaje final 9</t>
  </si>
  <si>
    <t>Pat x2</t>
  </si>
  <si>
    <t>Placa main 1</t>
  </si>
  <si>
    <t>Placa main 2</t>
  </si>
  <si>
    <t>Pre-Empaque</t>
  </si>
  <si>
    <t>Reproceso de Tapa</t>
  </si>
  <si>
    <t>Nombre del Archivo:</t>
  </si>
  <si>
    <t>ADENewsan</t>
  </si>
  <si>
    <t>Fecha de Creación: 10/10/2024</t>
  </si>
  <si>
    <t>Descripción:</t>
  </si>
  <si>
    <t>Análisis de Ergonomia de empleados de La fábrica Newsan</t>
  </si>
  <si>
    <t>Campo</t>
  </si>
  <si>
    <t xml:space="preserve">Celda </t>
  </si>
  <si>
    <t>CODIGO</t>
  </si>
  <si>
    <t>Tipo</t>
  </si>
  <si>
    <t>Tamaño</t>
  </si>
  <si>
    <t>Restricciones y/o Validaciones</t>
  </si>
  <si>
    <t>Ejemplo</t>
  </si>
  <si>
    <t>Observaciones</t>
  </si>
  <si>
    <t>E5</t>
  </si>
  <si>
    <t>Variable</t>
  </si>
  <si>
    <t>Nombre de la empresa</t>
  </si>
  <si>
    <t>No nulo, máximo 100 caracteres</t>
  </si>
  <si>
    <t>Newsan S.A.</t>
  </si>
  <si>
    <t>K5</t>
  </si>
  <si>
    <t>Departamento o sección</t>
  </si>
  <si>
    <t>Número de Empleados Hombres</t>
  </si>
  <si>
    <t>K7</t>
  </si>
  <si>
    <t>Entero</t>
  </si>
  <si>
    <t>Número total de empleados</t>
  </si>
  <si>
    <t>Debe ser mayor que 0</t>
  </si>
  <si>
    <t>Número de Empleados Mujeres</t>
  </si>
  <si>
    <t>N7</t>
  </si>
  <si>
    <t>Número de empleados hombres</t>
  </si>
  <si>
    <t>Mayor o igual a 0</t>
  </si>
  <si>
    <t>Descripción de la Tarea</t>
  </si>
  <si>
    <t>E9</t>
  </si>
  <si>
    <t>Breve descripción de la tarea que realizan los empleados</t>
  </si>
  <si>
    <t>No nulo, máximo 200 caracteres</t>
  </si>
  <si>
    <t>Toma cubierta y escanea</t>
  </si>
  <si>
    <t>Presencia de Tarea Repetitiva SI</t>
  </si>
  <si>
    <t xml:space="preserve">O11 </t>
  </si>
  <si>
    <t>Booleano</t>
  </si>
  <si>
    <t>Indica si la tarea analizada es repetitiva. La evaluación se realiza cuando la tarea está organizada en ciclos o caracterizada por la repetición de acciones.</t>
  </si>
  <si>
    <t>Valor: "SI"</t>
  </si>
  <si>
    <t>SI</t>
  </si>
  <si>
    <t>Presencia de Tarea Repetitiva NO</t>
  </si>
  <si>
    <t>O12</t>
  </si>
  <si>
    <t>Valor: "NO"</t>
  </si>
  <si>
    <t>No</t>
  </si>
  <si>
    <t>Duración del Turno oficial(min)</t>
  </si>
  <si>
    <t>E16</t>
  </si>
  <si>
    <t>Duración efectiva del turno en minutos</t>
  </si>
  <si>
    <t>Mayor que 0</t>
  </si>
  <si>
    <t>Duración del Tiempo Efectivo</t>
  </si>
  <si>
    <t>K16</t>
  </si>
  <si>
    <t>Duración efectiva de trabajo repetitivo en minutos.</t>
  </si>
  <si>
    <t>Tiempo neto de la tarea sin pausas</t>
  </si>
  <si>
    <t>Tiempo de Trabajo No Repetitivo</t>
  </si>
  <si>
    <t>K18</t>
  </si>
  <si>
    <t>Tiempo destinado a actividades no repetitivas (limpieza, abastecimiento, etc.) en minutos</t>
  </si>
  <si>
    <t>Actividades fuera del ciclo repetitivo</t>
  </si>
  <si>
    <t>Número de Pausas efectivas</t>
  </si>
  <si>
    <t>K20</t>
  </si>
  <si>
    <t>Número de pausas efectivas durante el turno</t>
  </si>
  <si>
    <t>CON DURACION IGUAL O SUPERIOR A 8 MINUTOS (EXCLUYENDO LA PAUSA PARA COMER) (considerada como recuperación)</t>
  </si>
  <si>
    <t>Tiempo Efectivo Total de Todas las Pausas</t>
  </si>
  <si>
    <t>K22</t>
  </si>
  <si>
    <t>Tiempo en minutos de todas las pausas (excluyendo la pausa para comer)</t>
  </si>
  <si>
    <t>Tiempo Efectivo de la Pausa para Comer</t>
  </si>
  <si>
    <t>K24</t>
  </si>
  <si>
    <t>Tiempo en minutos de la pausa para comer si está incluida en el turno (pagada)</t>
  </si>
  <si>
    <t>Número de Pausas de Al Menos 30 Minutos</t>
  </si>
  <si>
    <t>K26</t>
  </si>
  <si>
    <t>Número de pausas para comer de por lo menos 30 minutos o interrupciones largas</t>
  </si>
  <si>
    <t>Incluye traslados largos u otras interrupciones</t>
  </si>
  <si>
    <t>Número de Unidades / Trabajadores / Turnos</t>
  </si>
  <si>
    <t>F29</t>
  </si>
  <si>
    <t>Número de unidades, trabajadores o turnos involucrados en el ciclo de trabajo</t>
  </si>
  <si>
    <t>Tiempo Neto de Trabajo Repetitivo (min)</t>
  </si>
  <si>
    <t>K29</t>
  </si>
  <si>
    <t>Decimal</t>
  </si>
  <si>
    <t>Tiempo efectivo de trabajo repetitivo en minutos</t>
  </si>
  <si>
    <t>480.0</t>
  </si>
  <si>
    <t>Tiempo de Ciclo Neto calculado (segundos)</t>
  </si>
  <si>
    <t>k31</t>
  </si>
  <si>
    <t>Duración neta del ciclo observado en segundos</t>
  </si>
  <si>
    <t>Tiempo de Ciclo Observado (segundos)</t>
  </si>
  <si>
    <t>F30</t>
  </si>
  <si>
    <t>Duración del ciclo observado en segundos</t>
  </si>
  <si>
    <t>29.20</t>
  </si>
  <si>
    <t>Tiempo de Observación Representativo (segundos)</t>
  </si>
  <si>
    <t>F31</t>
  </si>
  <si>
    <t>Duración representativa cuando no hay un ciclo real pero se repiten las mismas acciones</t>
  </si>
  <si>
    <t>28.80</t>
  </si>
  <si>
    <t>Minutos No Justificados</t>
  </si>
  <si>
    <t>M32</t>
  </si>
  <si>
    <t>Minutos que no tienen justificación en el cálculo del tiempo total</t>
  </si>
  <si>
    <t>Positivo o negativo</t>
  </si>
  <si>
    <t>Presencia de Tiempos de Recuperación Dentro del Ciclo</t>
  </si>
  <si>
    <t>F32</t>
  </si>
  <si>
    <t>Indica si hay tiempos de recuperación dentro del ciclo</t>
  </si>
  <si>
    <t>Valor: "SI" o "NO"</t>
  </si>
  <si>
    <t>% de Diferencia Entre el Tiempo de Ciclo Observado y Establecido</t>
  </si>
  <si>
    <t>K32</t>
  </si>
  <si>
    <t>Porcentaje de diferencia entre el tiempo de ciclo observado y el tiempo de ciclo establecido</t>
  </si>
  <si>
    <t>Valor entre -100% y 100%</t>
  </si>
  <si>
    <t>Extremidad Analizada Derecha</t>
  </si>
  <si>
    <t>F41</t>
  </si>
  <si>
    <t>Extremidad (derecha DX) analizada</t>
  </si>
  <si>
    <t>Valores predefinidos: "Derecha"</t>
  </si>
  <si>
    <t>Extremidad Analizada Izquierda</t>
  </si>
  <si>
    <t>I41</t>
  </si>
  <si>
    <t>Extremidad (izquierda IX) analizada</t>
  </si>
  <si>
    <t>Valores predefinidos: "Izquierda"</t>
  </si>
  <si>
    <t>Extremidad Analizada Indistinto</t>
  </si>
  <si>
    <t>L41</t>
  </si>
  <si>
    <t>Extremidad (bilateral BX) analizada</t>
  </si>
  <si>
    <t>Valores predefinidos: "Bilateral"</t>
  </si>
  <si>
    <t>N. Acciones Dinamicas (Derecha)</t>
  </si>
  <si>
    <t>H43</t>
  </si>
  <si>
    <t>Número de acciones técnicas observadas con la extremidad derecha</t>
  </si>
  <si>
    <t>Si las acciones son muy rápidas y difíciles de contar (&gt; 70 acc/min), marque una "X" en el recuadro, sin necesidad de contar las acciones técnicas.</t>
  </si>
  <si>
    <t>Frecuencia Dinamicas (Derecha)</t>
  </si>
  <si>
    <t>I43</t>
  </si>
  <si>
    <t>Frecuencia de las acciones dinámicas observadas con la extremidad derecha (por minuto)</t>
  </si>
  <si>
    <t>43.8</t>
  </si>
  <si>
    <t>N. Acciones Dinamicas (Izquierda)</t>
  </si>
  <si>
    <t>L43</t>
  </si>
  <si>
    <t>Número de acciones técnicas observadas con la extremidad izquierda</t>
  </si>
  <si>
    <t>Frecuencia Dinamicas (Izquierda)</t>
  </si>
  <si>
    <t>M43</t>
  </si>
  <si>
    <t>Frecuencia de las acciones dinámicas observadas con la extremidad izquierda (por minuto)</t>
  </si>
  <si>
    <t>25.0</t>
  </si>
  <si>
    <t>Posibles Breves Interrupciones NO</t>
  </si>
  <si>
    <t>H46</t>
  </si>
  <si>
    <t>Indica si es posible realizar breves interrupciones durante la tarea (el ritmo no es impuesto por la máquina)</t>
  </si>
  <si>
    <t>NO</t>
  </si>
  <si>
    <t>Posibles Breves Interrupciones SI</t>
  </si>
  <si>
    <t>I46</t>
  </si>
  <si>
    <t>Objeto Mantenido en Presa Estática (2/3 del Tiempo) - Derecha NO</t>
  </si>
  <si>
    <t>Indica si un objeto es mantenido en presa estática por al menos 5 segundos y ocupa 2/3 del tiempo del ciclo (derecha)</t>
  </si>
  <si>
    <t>Objeto Mantenido en Presa Estática (2/3 del Tiempo) - Derecha SI</t>
  </si>
  <si>
    <t>I49</t>
  </si>
  <si>
    <t>Objeto Mantenido en Presa Estática (2/3 del Tiempo) - Izquierda NO</t>
  </si>
  <si>
    <t>K49</t>
  </si>
  <si>
    <t>Indica si un objeto es mantenido en presa estática por al menos 5 segundos y ocupa 2/3 del tiempo del ciclo (izquierda)</t>
  </si>
  <si>
    <t>Objeto Mantenido en Presa Estática (2/3 del Tiempo) - Izquierda SI</t>
  </si>
  <si>
    <t>L49</t>
  </si>
  <si>
    <t xml:space="preserve">Valor: "SI" </t>
  </si>
  <si>
    <t>Objeto Mantenido en Presa Estática (3/3 del Tiempo) - Derecha NO</t>
  </si>
  <si>
    <t>Indica si un objeto es mantenido en presa estática por al menos 5 segundos y ocupa 3/3 del tiempo del ciclo (derecha)</t>
  </si>
  <si>
    <t>Objeto Mantenido en Presa Estática (3/3 del Tiempo) - Derecha SI</t>
  </si>
  <si>
    <t>I50</t>
  </si>
  <si>
    <t>Objeto Mantenido en Presa Estática (3/3 del Tiempo) - Izquierda NO</t>
  </si>
  <si>
    <t>K50</t>
  </si>
  <si>
    <t>Indica si un objeto es mantenido en presa estática por al menos 5 segundos y ocupa 3/3 del tiempo del ciclo (izquierda)</t>
  </si>
  <si>
    <t>Objeto Mantenido en Presa Estática (3/3 del Tiempo) - Izquierda SI</t>
  </si>
  <si>
    <t>L50</t>
  </si>
  <si>
    <t>Mano DX - Sujeción con Dedos en Pinch, Palmar o Gancho (no en Grip) Menos Tiempo Pero Significativo</t>
  </si>
  <si>
    <t>E56</t>
  </si>
  <si>
    <t>Indica si la mano sujeta objetos con los dedos en pinch, prensa palmar o gancho durante el ciclo de trabajo - Menos tiempos pero significativo</t>
  </si>
  <si>
    <t>Valor: "X" o Vacio</t>
  </si>
  <si>
    <t>Mano DX - Sujeción con Dedos en Pinch, Palmar o Gancho (no en Grip) Aprox. 1/3 del tiempo</t>
  </si>
  <si>
    <t>F56</t>
  </si>
  <si>
    <t>Indica si la mano sujeta objetos con los dedos en pinch, presa palmar o gancho durante el ciclo de trabajo - Aprox. 1/3 del tiempo</t>
  </si>
  <si>
    <t>Mano DX - Sujeción con Dedos en Pinch, Palmar o Gancho (no en Grip) Aprox. la mitad del tiempo</t>
  </si>
  <si>
    <t>H56</t>
  </si>
  <si>
    <t>Indica si la mano sujeta objetos con los dedos en pinch, presa palmar o gancho durante el ciclo de trabajo - Aprox 1/2 del tiempo</t>
  </si>
  <si>
    <t>Mano DX - Sujeción con Dedos en Pinch, Palmar o Gancho (no en Grip) aprox 2/3 del tiempo</t>
  </si>
  <si>
    <t>I56</t>
  </si>
  <si>
    <t>Indica si la mano sujeta objetos con los dedos en pinch, presa palmar o gancho durante el ciclo de trabajo - Aprox. 2/3 del tiempo</t>
  </si>
  <si>
    <t>Mano DX - Sujeción con Dedos en Pinch, Palmar o Gancho (no en Grip) Casi todo el tiempo</t>
  </si>
  <si>
    <t>K56</t>
  </si>
  <si>
    <t>Indica si la mano sujeta objetos con los dedos en pinch, presa palmar o gancho durante el ciclo de trabajo - Casi todo el tiempo</t>
  </si>
  <si>
    <t>Brazo DX- Altura al Hombro o Postura Extrema - Menos tiempo pero significativo</t>
  </si>
  <si>
    <t>E57</t>
  </si>
  <si>
    <t>Indica si el brazo se mantiene a la altura del hombro o en otra postura extrema durante el ciclo de trabajo - Menos tiempo pero significativo</t>
  </si>
  <si>
    <t xml:space="preserve">Brazo DX- Altura al Hombro o Postura Extrema - APROX. 1/3 DEL TIEMPO        
</t>
  </si>
  <si>
    <t>F57</t>
  </si>
  <si>
    <t>Indica si el brazo se mantiene a la altura del hombro o en otra postura extrema durante el ciclo de trabajo - Aprox. 1/3 del tiempo</t>
  </si>
  <si>
    <t xml:space="preserve">Brazo DX- Altura al Hombro o Postura Extrema - APROX. LA MITAD DEL TIEMPO
</t>
  </si>
  <si>
    <t>H57</t>
  </si>
  <si>
    <t>Indica si el brazo se mantiene a la altura del hombro o en otra postura extrema durante el ciclo de trabajo - Aprox. 1/2 del tiempo</t>
  </si>
  <si>
    <t xml:space="preserve">Brazo DX- Altura al Hombro o Postura Extrema - APROX. 2/3 DEL TIEMPO        
</t>
  </si>
  <si>
    <t>I57</t>
  </si>
  <si>
    <t>Indica si el brazo se mantiene a la altura del hombro o en otra postura extrema durante el ciclo de trabajo - Aprox. 2/3 del tiempo</t>
  </si>
  <si>
    <t>Brazo DX- Altura al Hombro o Postura Extrema - CASI TODO EL TIEMPO</t>
  </si>
  <si>
    <t>K57</t>
  </si>
  <si>
    <t>Indica si el brazo se mantiene a la altura del hombro o en otra postura extrema durante el ciclo de trabajo - Casi todo el tiempo</t>
  </si>
  <si>
    <t>Muñeca DX - Desviaciones Extremas en Flexión/Desviación (Radio/Cubital)-Menos tiempo pero significativo</t>
  </si>
  <si>
    <t>E58</t>
  </si>
  <si>
    <t>Post_Forz_Ext_DX_muñeca_Menos</t>
  </si>
  <si>
    <t>Indica si la muñeca realiza desviaciones extremas durante el ciclo de trabajo - Menos tiempo pero significativo</t>
  </si>
  <si>
    <t>Muñeca DX - Desviaciones Extremas en Flexión/Desviación (Radio/Cubital)-APROX. 1/3 DEL TIEMPO</t>
  </si>
  <si>
    <t>F58</t>
  </si>
  <si>
    <t>Post_Forz_Ext_DX_muñeca_1/3</t>
  </si>
  <si>
    <t>Indica si la muñeca realiza desviaciones extremas durante el ciclo de trabajo - Aprox. 1/3 del tiempo</t>
  </si>
  <si>
    <t>Muñeca DX- Desviaciones Extremas en Flexión/Desviación (Radio/Cubital)- APROX. LA MITAD DEL TIEMPO</t>
  </si>
  <si>
    <t>H58</t>
  </si>
  <si>
    <t>Post_Forz_Ext_DX_muñeca_1/2</t>
  </si>
  <si>
    <t>Indica si la muñeca realiza desviaciones extremas durante el ciclo de trabajo - Aprox. 1/2 del tiempo</t>
  </si>
  <si>
    <t>Muñeca DX- Desviaciones Extremas en Flexión/Desviación (Radio/Cubital)- APROX. 2/3 DEL TIEMPO</t>
  </si>
  <si>
    <t>I58</t>
  </si>
  <si>
    <t>Post_Forz_Ext_DX_muñeca_2/3</t>
  </si>
  <si>
    <t>Indica si la muñeca realiza desviaciones extremas durante el ciclo de trabajo - Aprox. 2/3 del tiempo</t>
  </si>
  <si>
    <t>Muñeca DX- Desviaciones Extremas en Flexión/Desviación (Radio/Cubital)- CASI TODO EL TIEMPO</t>
  </si>
  <si>
    <t>K58</t>
  </si>
  <si>
    <t>Post_Forz_Ext_DX_muñeca_Todo</t>
  </si>
  <si>
    <t>Indica si la muñeca realiza desviaciones extremas durante el ciclo de trabajo - Casi todo el tiempo</t>
  </si>
  <si>
    <t>Codo DX - Movimientos de Flexo-Extensión o Prono-Supinación - Menos tiempo pero Significativo</t>
  </si>
  <si>
    <t>E59</t>
  </si>
  <si>
    <t>Indica si el codo realiza movimientos amplios de flexo-extensión o prono-supinación durante el ciclo de trabajo - Menos tiempo pero significativo</t>
  </si>
  <si>
    <t>Codo DX - Movimientos de Flexo-Extensión o Prono-Supinación - Aprox 1/3 del tiempo</t>
  </si>
  <si>
    <t>F59</t>
  </si>
  <si>
    <t>Indica si el codo realiza movimientos amplios de flexo-extensión o prono-supinación durante el ciclo de trabajo - Aprox. 1/3 del tiempo</t>
  </si>
  <si>
    <t>Codo DX - Movimientos de Flexo-Extensión o Prono-Supinación - Aprox. la mitad del tiempo</t>
  </si>
  <si>
    <t>H59</t>
  </si>
  <si>
    <t>Indica si el codo realiza movimientos amplios de flexo-extensión o prono-supinación durante el ciclo de trabajo - Aprox. 1/2 del tiempo</t>
  </si>
  <si>
    <t>Codo DX - Movimientos de Flexo-Extensión o Prono-Supinación - Aprox. 2/3 del tiempo</t>
  </si>
  <si>
    <t>I59</t>
  </si>
  <si>
    <t>Indica si el codo realiza movimientos amplios de flexo-extensión o prono-supinación durante el ciclo de trabajo - Aprox. 2/3 tiempo</t>
  </si>
  <si>
    <t>Codo DX - Movimientos de Flexo-Extensión o Prono-Supinación - Casi todo el tiempo</t>
  </si>
  <si>
    <t>K59</t>
  </si>
  <si>
    <t>Indica si el codo realiza movimientos amplios de flexo-extensión o prono-supinación durante el ciclo de trabajo - Casi todo el tiempo</t>
  </si>
  <si>
    <t>Estereotipo Extremidad superior DX- Tiempo de Ciclo - Sup. 15 Segundos</t>
  </si>
  <si>
    <t>G60</t>
  </si>
  <si>
    <t>Indica si el tiempo del ciclo es superior a 15 segundos</t>
  </si>
  <si>
    <t>Estereotipo Extremidad superior DX- Tiempo de Ciclo - Entre 9 y 15 Segundos</t>
  </si>
  <si>
    <t>J60</t>
  </si>
  <si>
    <t>Tiempo de ciclo observado entre 9 y 15 segundos</t>
  </si>
  <si>
    <t>Estereotipo Extremidad superior DX- Tiempo de Ciclo - Igual o Inferior a 8 Segundos</t>
  </si>
  <si>
    <t>M60</t>
  </si>
  <si>
    <t>Tiempo de ciclo observado igual o inferior a 8 segundos</t>
  </si>
  <si>
    <t>Estereotipo Extremidad Superior DX - Frecuencia de Repetición (Más de la Mitad del Tiempo)</t>
  </si>
  <si>
    <t>J61</t>
  </si>
  <si>
    <t>Frecuencia de repetición de las acciones técnicas más de la mitad del tiempo</t>
  </si>
  <si>
    <t>Estereotipo Extremidad superior DX - Frecuencia de Repetición (Casi Todo el Tiempo)</t>
  </si>
  <si>
    <t>M61</t>
  </si>
  <si>
    <t>Frecuencia de repetición de las acciones técnicas casi todo el tiempo</t>
  </si>
  <si>
    <t>Mano IX - Sujeción con Dedos en Pinch, Palmar o Gancho (no en Grip) Menos Tiempo Pero Significativo</t>
  </si>
  <si>
    <t>E64</t>
  </si>
  <si>
    <t>Mano IX - Sujeción con Dedos en Pinch, Palmar o Gancho (no en Grip) Aprox. 1/3 del tiempo</t>
  </si>
  <si>
    <t>F64</t>
  </si>
  <si>
    <t>Mano IX - Sujeción con Dedos en Pinch, Palmar o Gancho (no en Grip) Aprox. la mitad del tiempo</t>
  </si>
  <si>
    <t>H64</t>
  </si>
  <si>
    <t>Mano IX - Sujeción con Dedos en Pinch, Palmar o Gancho (no en Grip) aprox 2/3 del tiempo</t>
  </si>
  <si>
    <t>I64</t>
  </si>
  <si>
    <t>Mano IX - Sujeción con Dedos en Pinch, Palmar o Gancho (no en Grip) Casi todo el tiempo</t>
  </si>
  <si>
    <t>K64</t>
  </si>
  <si>
    <t>Brazo IX- Altura al Hombro o Postura Extrema - Menos tiempo pero significativo</t>
  </si>
  <si>
    <t>E65</t>
  </si>
  <si>
    <t xml:space="preserve">Brazo IX- Altura al Hombro o Postura Extrema - APROX. 1/3 DEL TIEMPO        
</t>
  </si>
  <si>
    <t>F65</t>
  </si>
  <si>
    <t xml:space="preserve">Brazo IX- Altura al Hombro o Postura Extrema - APROX. LA MITAD DEL TIEMPO
</t>
  </si>
  <si>
    <t>H65</t>
  </si>
  <si>
    <t xml:space="preserve">Brazo IX- Altura al Hombro o Postura Extrema - APROX. 2/3 DEL TIEMPO        
</t>
  </si>
  <si>
    <t>I65</t>
  </si>
  <si>
    <t>Brazo IX- Altura al Hombro o Postura Extrema - CASI TODO EL TIEMPO</t>
  </si>
  <si>
    <t>K65</t>
  </si>
  <si>
    <t>Muñeca IX - Desviaciones Extremas en Flexión/Desviación (Radio/Cubital)-Menos tiempo pero significativo</t>
  </si>
  <si>
    <t>E66</t>
  </si>
  <si>
    <t>Post_Forz_Ext_IX_muñeca_Menos</t>
  </si>
  <si>
    <t>Muñeca IX - Desviaciones Extremas en Flexión/Desviación (Radio/Cubital)-APROX. 1/3 DEL TIEMPO</t>
  </si>
  <si>
    <t>F66</t>
  </si>
  <si>
    <t>Post_Forz_Ext_IX_muñeca_1/3</t>
  </si>
  <si>
    <t>Muñeca IX- Desviaciones Extremas en Flexión/Desviación (Radio/Cubital)- APROX. LA MITAD DEL TIEMPO</t>
  </si>
  <si>
    <t>H66</t>
  </si>
  <si>
    <t>Post_Forz_Ext_IX_muñeca_1/2</t>
  </si>
  <si>
    <t>Muñeca IX- Desviaciones Extremas en Flexión/Desviación (Radio/Cubital)- APROX. 2/3 DEL TIEMPO</t>
  </si>
  <si>
    <t>I66</t>
  </si>
  <si>
    <t>Post_Forz_Ext_IX_muñeca_2/3</t>
  </si>
  <si>
    <t>Muñeca IX- Desviaciones Extremas en Flexión/Desviación (Radio/Cubital)- CASI TODO EL TIEMPO</t>
  </si>
  <si>
    <t>K66</t>
  </si>
  <si>
    <t>Post_Forz_Ext_IX_muñeca_Todo</t>
  </si>
  <si>
    <t>Codo IX - Movimientos de Flexo-Extensión o Prono-Supinación - Menos tiempo pero Significativo</t>
  </si>
  <si>
    <t>E67</t>
  </si>
  <si>
    <t>Codo IX - Movimientos de Flexo-Extensión o Prono-Supinación - Aprox 1/3 del tiempo</t>
  </si>
  <si>
    <t>F67</t>
  </si>
  <si>
    <t>Codo IX - Movimientos de Flexo-Extensión o Prono-Supinación - Aprox. la mitad del tiempo</t>
  </si>
  <si>
    <t>H67</t>
  </si>
  <si>
    <t>Codo IX - Movimientos de Flexo-Extensión o Prono-Supinación - Aprox. 2/3 del tiempo</t>
  </si>
  <si>
    <t>I67</t>
  </si>
  <si>
    <t>Codo IX - Movimientos de Flexo-Extensión o Prono-Supinación - Casi todo el tiempo</t>
  </si>
  <si>
    <t>K67</t>
  </si>
  <si>
    <t>Estereotipo Extremidad superior IX- Tiempo de Ciclo - Sup. 15 Segundos</t>
  </si>
  <si>
    <t>G68</t>
  </si>
  <si>
    <t>Estereotipo Extremidad superior IX- Tiempo de Ciclo - Entre 9 y 15 Segundos</t>
  </si>
  <si>
    <t>J68</t>
  </si>
  <si>
    <t>Estereotipo Extremidad superior IX- Tiempo de Ciclo - Igual o Inferior a 8 Segundos</t>
  </si>
  <si>
    <t>M68</t>
  </si>
  <si>
    <t>Estereotipo Extremidad Superior IX - Frecuencia de Repetición (Más de la Mitad del Tiempo)</t>
  </si>
  <si>
    <t>J69</t>
  </si>
  <si>
    <t>Estereotipo Extremidad superior IX - Frecuencia de Repetición (Casi Todo el Tiempo)</t>
  </si>
  <si>
    <t>M69</t>
  </si>
  <si>
    <t>Fuerza Extremidad DX - Uso Moderado - Menos de 1/3 del tiempo</t>
  </si>
  <si>
    <t>E73</t>
  </si>
  <si>
    <t>Descripción de la fuerza aplicada en la extremidad derecha</t>
  </si>
  <si>
    <t>Fuerza Extremidad DX - Uso Moderado - Aprox. 1/3 del tiempo</t>
  </si>
  <si>
    <t>F73</t>
  </si>
  <si>
    <t>Fuerza Extremidad DX - Uso Moderado - Aprox. 1/2 del tiempo</t>
  </si>
  <si>
    <t>G73</t>
  </si>
  <si>
    <t>Fuerza Extremidad DX - Uso Moderado - Aprox. 2/3 del tiempo</t>
  </si>
  <si>
    <t>H73</t>
  </si>
  <si>
    <t>Fuerza Extremidad DX - Uso Moderado - Casi todo el tiempo</t>
  </si>
  <si>
    <t>I73</t>
  </si>
  <si>
    <t>Fuerza Extremidad DX- Fuerza Intensa- 1-2 segundos cada 10 minutos</t>
  </si>
  <si>
    <t>E74</t>
  </si>
  <si>
    <t xml:space="preserve">Descripción del uso de fuerza intensa con un puntaje de 5 a 7 en la escala de Borg - 1- 2 segundos cada 10 minutos
</t>
  </si>
  <si>
    <t xml:space="preserve">Fuerza Extremidad DX - Fuerza intensa - 1% del tiempo
</t>
  </si>
  <si>
    <t>G74</t>
  </si>
  <si>
    <t>Descripción del uso de fuerza intensa con un puntaje de 5 a 7 en la escala de Borg - 1% del tiempo</t>
  </si>
  <si>
    <t xml:space="preserve">Fuerza Extremidad DX - Fuerza intensa - 5% del tiempo
</t>
  </si>
  <si>
    <t>I74</t>
  </si>
  <si>
    <t xml:space="preserve">Descripción del uso de fuerza intensa con un puntaje de 5 a 7 en la escala de Borg - 5% del tiempo
</t>
  </si>
  <si>
    <t xml:space="preserve">Fuerza Extremidad DX - Fuerza intensa - más del 10%  tiempo 
</t>
  </si>
  <si>
    <t>L74</t>
  </si>
  <si>
    <t xml:space="preserve">Descripción del uso de fuerza intensa con un puntaje de 5 a 7 en la escala de Borg - más del 10%  tiempo </t>
  </si>
  <si>
    <t xml:space="preserve">Fuerza Extremidad DX - Muy intensa - 1- 2 segundos cada 10 minutos
</t>
  </si>
  <si>
    <t>E75</t>
  </si>
  <si>
    <t xml:space="preserve">Descripción del uso de fuerza muy intensa con un puntaje de 8 a 10 en la escala de Borg - 1- 2 segundos cada 10 minutos
</t>
  </si>
  <si>
    <t xml:space="preserve">Fuerza Extremidad DX - Muy intensa - 1% del tiempo
</t>
  </si>
  <si>
    <t>G75</t>
  </si>
  <si>
    <t>Descripción del uso de fuerza muy intensa con un puntaje de 8 a 10 en la escala de Borg - 1% del tiempo</t>
  </si>
  <si>
    <t xml:space="preserve">Fuerza Extremidad DX - Muy intensa - 5% del tiempo
</t>
  </si>
  <si>
    <t>I75</t>
  </si>
  <si>
    <t xml:space="preserve">Descripción del uso de fuerza muy intensa con un puntaje de 8 a 10 en la escala de Borg - 5% del tiempo
</t>
  </si>
  <si>
    <t xml:space="preserve">Fuerza Extremidad DX - Muy intensa - más del 10%  tiempo 
</t>
  </si>
  <si>
    <t>L75</t>
  </si>
  <si>
    <t xml:space="preserve">Descripción del uso de fuerza muy intensa con un puntaje de 8 a 10 en la escala de Borg - más del 10%  tiempo </t>
  </si>
  <si>
    <t>Fuerza Extremidad IX - Uso Moderado - Menos de 1/3 del tiempo</t>
  </si>
  <si>
    <t>E78</t>
  </si>
  <si>
    <t>Fuerza Extremidad IX - Uso Moderado - Aprox. 1/3 del tiempo</t>
  </si>
  <si>
    <t>F78</t>
  </si>
  <si>
    <t>Fuerza Extremidad IX - Uso Moderado - Aprox. 1/2 del tiempo</t>
  </si>
  <si>
    <t>G78</t>
  </si>
  <si>
    <t>Fuerza Extremidad IX - Uso Moderado - Aprox. 2/3 del tiempo</t>
  </si>
  <si>
    <t>H78</t>
  </si>
  <si>
    <t>Fuerza Extremidad IX - Uso Moderado - Casi todo el tiempo</t>
  </si>
  <si>
    <t>I78</t>
  </si>
  <si>
    <t>Fuerza Extremidad IX- Fuerza Intensa- 1-2 segundos cada 10 minutos</t>
  </si>
  <si>
    <t>E79</t>
  </si>
  <si>
    <t xml:space="preserve">Fuerza Extremidad IX - Fuerza intensa - 1% del tiempo
</t>
  </si>
  <si>
    <t>G79</t>
  </si>
  <si>
    <t xml:space="preserve">Fuerza Extremidad IX - Fuerza intensa - 5% del tiempo
</t>
  </si>
  <si>
    <t>I79</t>
  </si>
  <si>
    <t xml:space="preserve">Fuerza Extremidad IX - Fuerza intensa - más del 10%  tiempo 
</t>
  </si>
  <si>
    <t>L79</t>
  </si>
  <si>
    <t xml:space="preserve">Fuerza Extremidad IX - Muy intensa - 1- 2 segundos cada 10 minutos
</t>
  </si>
  <si>
    <t>E80</t>
  </si>
  <si>
    <t xml:space="preserve">Fuerza Extremidad IX - Muy intensa - 1% del tiempo
</t>
  </si>
  <si>
    <t>G80</t>
  </si>
  <si>
    <t xml:space="preserve">Fuerza Extremidad IX - Muy intensa - 5% del tiempo
</t>
  </si>
  <si>
    <t>I80</t>
  </si>
  <si>
    <t xml:space="preserve">Fuerza Extremidad IX - Muy intensa - más del 10%  tiempo 
</t>
  </si>
  <si>
    <t>L80</t>
  </si>
  <si>
    <t>Factores Complementarios - Uso de Martillo o Mazos para Golpear - DX</t>
  </si>
  <si>
    <t>L83</t>
  </si>
  <si>
    <t>Indica si se usa martillo o mazos para golpear</t>
  </si>
  <si>
    <t>Frecuencia del Uso de las Manos para Dar Golpes - DX</t>
  </si>
  <si>
    <t>L84</t>
  </si>
  <si>
    <t>Frecuencia de uso de las manos para dar golpes</t>
  </si>
  <si>
    <t>10 veces/hora: "SI" o "NO"</t>
  </si>
  <si>
    <t>Herramientas Vibradoras Utilizadas (Excluyendo Destornilladores) - DX</t>
  </si>
  <si>
    <t>L85</t>
  </si>
  <si>
    <t>Indica si se emplean herramientas vibradoras (excluyendo destornilladores que no provocan contragolpes)</t>
  </si>
  <si>
    <t>Otros Factores Físicos - DX</t>
  </si>
  <si>
    <t>L86</t>
  </si>
  <si>
    <t>Especificar otros factores físicos relevantes que figuran en el comentario adjunto</t>
  </si>
  <si>
    <t>Ritmo Impuesto con Posibilidad de Ajustar Velocidad</t>
  </si>
  <si>
    <t>G87</t>
  </si>
  <si>
    <t>Indica si el ritmo de trabajo permite ajustar la velocidad</t>
  </si>
  <si>
    <t>Ritmo Impuesto - Velocidad de Desplazamiento Muy Lenta</t>
  </si>
  <si>
    <t>I87</t>
  </si>
  <si>
    <t>Indica si el ritmo de trabajo en línea tiene una velocidad de desplazamiento muy lenta</t>
  </si>
  <si>
    <t>Ritmo Imposible de Ajustar</t>
  </si>
  <si>
    <t>L87</t>
  </si>
  <si>
    <t>Indica si el ritmo de trabajo es imposible de ajustar</t>
  </si>
  <si>
    <t>Factores Complementarios - Uso de Martillo o Mazos para Golpear - IX</t>
  </si>
  <si>
    <t>M83</t>
  </si>
  <si>
    <t>Frecuencia del Uso de las Manos para Dar Golpes - IX</t>
  </si>
  <si>
    <t>M84</t>
  </si>
  <si>
    <t>Herramientas Vibradoras Utilizadas (Excluyendo Destornilladores) - IX</t>
  </si>
  <si>
    <t>M85</t>
  </si>
  <si>
    <t>Otros Factores Físicos - IX</t>
  </si>
  <si>
    <t>M86</t>
  </si>
  <si>
    <t>No nulo</t>
  </si>
  <si>
    <t>Más de la mitad del tiempo</t>
  </si>
  <si>
    <t>Índice Parcial (Derecha)</t>
  </si>
  <si>
    <t>D94</t>
  </si>
  <si>
    <t>Índice parcial independiente de la recuperación y la duración para la extremidad derecha</t>
  </si>
  <si>
    <t>9.50</t>
  </si>
  <si>
    <t>Índice Parcial (Izquierda)</t>
  </si>
  <si>
    <t>D95</t>
  </si>
  <si>
    <t>Índice parcial independiente de la recuperación y la duración para la extremidad izquierda</t>
  </si>
  <si>
    <t>4.00</t>
  </si>
  <si>
    <t>Índice Intrínseco (Derecha)</t>
  </si>
  <si>
    <t>D97</t>
  </si>
  <si>
    <t>Índice intrínseco independiente de la duración para la extremidad derecha</t>
  </si>
  <si>
    <t>12.64</t>
  </si>
  <si>
    <t>Índice Intrínseco (Izquierda)</t>
  </si>
  <si>
    <t>D98</t>
  </si>
  <si>
    <t>Índice intrínseco independiente de la duración para la extremidad izquierda</t>
  </si>
  <si>
    <t>5.32</t>
  </si>
  <si>
    <t>Índice Ponderado por la Duración (Derecha)</t>
  </si>
  <si>
    <t>H96</t>
  </si>
  <si>
    <t>Índice ponderado por la duración efectiva de la tarea repetitiva para la extremidad derecha</t>
  </si>
  <si>
    <t>18.95</t>
  </si>
  <si>
    <t>Índice Ponderado por la Duración (Izquierda)</t>
  </si>
  <si>
    <t>H97</t>
  </si>
  <si>
    <t>Índice ponderado por la duración efectiva de la tarea repetitiva para la extremidad izquierda</t>
  </si>
  <si>
    <t>7.98</t>
  </si>
  <si>
    <t>Multiplicador de Recuperación - DX</t>
  </si>
  <si>
    <t>D106</t>
  </si>
  <si>
    <t>Factor multiplicador de la recuperación aplicable</t>
  </si>
  <si>
    <t>Recuperación - DX</t>
  </si>
  <si>
    <t>E106</t>
  </si>
  <si>
    <t>Tiempo de recuperación asociado con la tarea</t>
  </si>
  <si>
    <t>Frecuencia - DX</t>
  </si>
  <si>
    <t>F106</t>
  </si>
  <si>
    <t>Frecuencia de las acciones repetitivas realizadas</t>
  </si>
  <si>
    <t>5.0</t>
  </si>
  <si>
    <t>Fuerza - DX</t>
  </si>
  <si>
    <t>G106</t>
  </si>
  <si>
    <t>Valor de la fuerza aplicada durante la tarea</t>
  </si>
  <si>
    <t>0.0</t>
  </si>
  <si>
    <t>Hombro - DX</t>
  </si>
  <si>
    <t>I106</t>
  </si>
  <si>
    <t>Puntuación del esfuerzo de la articulación del hombro</t>
  </si>
  <si>
    <t>1.0</t>
  </si>
  <si>
    <t>Codo - DX</t>
  </si>
  <si>
    <t>J106</t>
  </si>
  <si>
    <t>Puntuación del esfuerzo de la articulación del codo</t>
  </si>
  <si>
    <t>2.0</t>
  </si>
  <si>
    <t>Muñeca - DX</t>
  </si>
  <si>
    <t>K106</t>
  </si>
  <si>
    <t>Muñeca_DX</t>
  </si>
  <si>
    <t>Puntuación del esfuerzo de la articulación de la muñeca</t>
  </si>
  <si>
    <t>Mano - DX</t>
  </si>
  <si>
    <t>L106</t>
  </si>
  <si>
    <t>Puntuación del esfuerzo de la mano</t>
  </si>
  <si>
    <t>3.0</t>
  </si>
  <si>
    <t>Estereotipo - DX</t>
  </si>
  <si>
    <t>M106</t>
  </si>
  <si>
    <t>Indica la presencia de estereotipos en las acciones repetitivas</t>
  </si>
  <si>
    <t>Valor: 0 (No), 1 (Sí)</t>
  </si>
  <si>
    <t>Total Postura - DX</t>
  </si>
  <si>
    <t>N106</t>
  </si>
  <si>
    <t>Puntuación total de la postura mantenida durante la tarea</t>
  </si>
  <si>
    <t>Factores Complementarios - DX</t>
  </si>
  <si>
    <t>O106</t>
  </si>
  <si>
    <t>Puntuación de los factores complementarios aplicables</t>
  </si>
  <si>
    <t>Puntuación Final Checklist OCRA - DX</t>
  </si>
  <si>
    <t>P106</t>
  </si>
  <si>
    <t>Puntuación total ponderada del checklist OCRA</t>
  </si>
  <si>
    <t>Multiplicador de Recuperación - IX</t>
  </si>
  <si>
    <t>D107</t>
  </si>
  <si>
    <t>Recuperación - IX</t>
  </si>
  <si>
    <t>E107</t>
  </si>
  <si>
    <t>Frecuencia - IX</t>
  </si>
  <si>
    <t>F107</t>
  </si>
  <si>
    <t>Fuerza - IX</t>
  </si>
  <si>
    <t>G107</t>
  </si>
  <si>
    <t>Hombro - IX</t>
  </si>
  <si>
    <t>I107</t>
  </si>
  <si>
    <t>Codo - IX</t>
  </si>
  <si>
    <t>J107</t>
  </si>
  <si>
    <t>Muñeca - IX</t>
  </si>
  <si>
    <t>K107</t>
  </si>
  <si>
    <t>Muñeca_IX</t>
  </si>
  <si>
    <t>Mano - IX</t>
  </si>
  <si>
    <t>L107</t>
  </si>
  <si>
    <t>Estereotipo - IX</t>
  </si>
  <si>
    <t>M107</t>
  </si>
  <si>
    <t>Total Postura - IX</t>
  </si>
  <si>
    <t>N107</t>
  </si>
  <si>
    <t>Factores Complementarios - IX</t>
  </si>
  <si>
    <t>O107</t>
  </si>
  <si>
    <t>Puntuación Final Checklist OCRA - IX</t>
  </si>
  <si>
    <t>P107</t>
  </si>
  <si>
    <t>Horas Sin Adecuada Recuperación (Automático)</t>
  </si>
  <si>
    <t>O16</t>
  </si>
  <si>
    <t>Número de horas sin recuperación adecuada calculado automáticamente</t>
  </si>
  <si>
    <t>Multiplicador de Recuperación (Automático)</t>
  </si>
  <si>
    <t>O18</t>
  </si>
  <si>
    <t>Multiplicador de recuperación calculado automáticamente</t>
  </si>
  <si>
    <t>1.33</t>
  </si>
  <si>
    <t>Horas Sin Recuperación Adecuada (Manual)</t>
  </si>
  <si>
    <t>O20</t>
  </si>
  <si>
    <t>Número de horas sin recuperación adecuada calculado manualmente</t>
  </si>
  <si>
    <t>Multiplicador de Duración</t>
  </si>
  <si>
    <t>O29</t>
  </si>
  <si>
    <t>Multiplicador_Duración</t>
  </si>
  <si>
    <t>Factor multiplicador basado en la duración de la tarea repetitiva</t>
  </si>
  <si>
    <t>Puntuación de Frecuencia DX</t>
  </si>
  <si>
    <t>O45</t>
  </si>
  <si>
    <t>Frecuencia observada de las acciones repetitivas</t>
  </si>
  <si>
    <t>Puntuación de Frecuencia IX</t>
  </si>
  <si>
    <t>P45</t>
  </si>
  <si>
    <t>Puntuación de frecuencia para cada extremidad (DX, IX)</t>
  </si>
  <si>
    <t>DX: 5.0, IX: 0.5</t>
  </si>
  <si>
    <t>Puntuación de Postura (DX)</t>
  </si>
  <si>
    <t>O62</t>
  </si>
  <si>
    <t>Puntuación de postura para la extremidad derecha (DX)</t>
  </si>
  <si>
    <t>Puntuación de Postura (IX)</t>
  </si>
  <si>
    <t>O70</t>
  </si>
  <si>
    <t>Puntuación de postura para la extremidad izquierda (IX)</t>
  </si>
  <si>
    <t>Puntuación de Fuerza (DX)</t>
  </si>
  <si>
    <t>O76</t>
  </si>
  <si>
    <t>Puntuación de fuerza aplicada por la extremidad derecha (DX)</t>
  </si>
  <si>
    <t>Puntuación de Fuerza (IX)</t>
  </si>
  <si>
    <t>O81</t>
  </si>
  <si>
    <t>Puntuación de fuerza aplicada por la extremidad izquierda (IX)</t>
  </si>
  <si>
    <t>Puntuación de Factores Complementarios - DX</t>
  </si>
  <si>
    <t>O89</t>
  </si>
  <si>
    <t>Puntuación de los factores complementarios relacionados con la tarea</t>
  </si>
  <si>
    <t>Puntuación de Factores Complementarios - IX</t>
  </si>
  <si>
    <t>P89</t>
  </si>
  <si>
    <t>Chekeo Acciones Principales - Estatico</t>
  </si>
  <si>
    <t>N127</t>
  </si>
  <si>
    <t>Checkea si tiene postura estática</t>
  </si>
  <si>
    <t>Chekeo Acciones Principales - Dinámico</t>
  </si>
  <si>
    <t>P127</t>
  </si>
  <si>
    <t>Chek_AC_PP_Dinámico</t>
  </si>
  <si>
    <t>Checkea si tiene postura dinámica</t>
  </si>
  <si>
    <t>Chekeo Acciones Principales - Bipedestación</t>
  </si>
  <si>
    <t>N129</t>
  </si>
  <si>
    <t>Chek_AC_PP_Bipedestación</t>
  </si>
  <si>
    <t>Checkea si esta en posición de bipedestación</t>
  </si>
  <si>
    <t>Chekeo Acciones Principales - Sedestación</t>
  </si>
  <si>
    <t>P129</t>
  </si>
  <si>
    <t>Chek_AC_PP_Sedestación</t>
  </si>
  <si>
    <t>Checkea si esta en posición de sedestación</t>
  </si>
  <si>
    <t>Chekeo Acciones Principales - Pinza Fina</t>
  </si>
  <si>
    <t>N131</t>
  </si>
  <si>
    <t>Checkea si realiza alguna accion principal de pinza fina</t>
  </si>
  <si>
    <t>Chekeo Acciones Principales - Tiron</t>
  </si>
  <si>
    <t>N133</t>
  </si>
  <si>
    <t>Checkea si realiza alguna accion principal de tiron</t>
  </si>
  <si>
    <t>Chekeo Acciones Principales - Prension Palmar</t>
  </si>
  <si>
    <t>N135</t>
  </si>
  <si>
    <t>Checkea si realiza alguna accion principal de prensión palmar</t>
  </si>
  <si>
    <t>Chekeo Acciones Principales - Presión Pulgar</t>
  </si>
  <si>
    <t>P135</t>
  </si>
  <si>
    <t>Checkea si realiza alguna accion principal de presión palmar</t>
  </si>
  <si>
    <t>Chekeo Acciones Principales - Conexionado</t>
  </si>
  <si>
    <t>N137</t>
  </si>
  <si>
    <t>Checkea si realiza alguna accion principal de conexionado</t>
  </si>
  <si>
    <t>Chekeo Acciones Principales - Flexión Muñeca</t>
  </si>
  <si>
    <t>N139</t>
  </si>
  <si>
    <t>Chek_AC_PP_Flex_Muñeca</t>
  </si>
  <si>
    <t>Checkea si realiza alguna accion principal de flexión muñeca</t>
  </si>
  <si>
    <t>Chekeo Acciones Principales - Vibraciones</t>
  </si>
  <si>
    <t>N141</t>
  </si>
  <si>
    <t>Checkea si realiza alguna accion principal de vibraciones</t>
  </si>
  <si>
    <t>Chekeo Acciones Principales - Manual</t>
  </si>
  <si>
    <t>N143</t>
  </si>
  <si>
    <t>Checkea si realiza alguna accion principal de manual</t>
  </si>
  <si>
    <t>Chekeo Acciones Principales - Fregar</t>
  </si>
  <si>
    <t>N145</t>
  </si>
  <si>
    <t>Checkea si realiza alguna accion principal de fregar</t>
  </si>
  <si>
    <t>Chekeo Acciones Principales - Toma Equipo IX</t>
  </si>
  <si>
    <t>N147</t>
  </si>
  <si>
    <t>Checkea si toma el equipo con la izquierda</t>
  </si>
  <si>
    <t>Chekeo Acciones Principales - Toma Equipo DX</t>
  </si>
  <si>
    <t>P147</t>
  </si>
  <si>
    <t>Checkea si toma el eqiopo con la derecha</t>
  </si>
  <si>
    <t>Chekeo Acciones Principales - Toma Equipo BX</t>
  </si>
  <si>
    <t>N149</t>
  </si>
  <si>
    <t>Checkea si la mano con la que toma el equipo es indistinto</t>
  </si>
  <si>
    <t>Id_archivo,Nombre_archivo,FC_Uso_Martillo_DX,FC_Uso_Manos_golpes_DX,FC_Uso_Vibraciones_DX,FC_Uso_Otros_DX,Ritmo_Imp_Pos_Ajus,Ritmo_Imp_Vel_Lenta,Ritma_No_Ajustable,FC_Uso_Martillo_IX,FC_Uso_Manos_golpes_IX,FC_Uso_Vibraciones_IX,FC_Uso_Otros_IX</t>
  </si>
  <si>
    <t>Id_archivo,Nombre_archivo,Ext_Ana_Dx,Ext_Ana_ix,Ext_Ana_Bx,DX_Acciones,IX_Acciones,DX_Frec,IX_Frec,Pos_Brev_Int_NO,Pos_Brev_Int_SI,DX_Pres_2_NO,DX_Pres_2_SI,IX_Pres_2_NO,IX_Pres_2_SI,DX_Pres_2_NO,DX_Pres_2_SI,IX_Pres_3_NO,IX_Pres_3_SI,Post_Forz_Ext_DX_Mano_Menos,Post_Forz_Ext_DX_Mano_1/3,Post_Forz_Ext_DX_Mano_1/2,Post_Forz_Ext_DX_Mano_2/3,Post_Forz_Ext_DX_Mano_Todo,Post_Forz_Ext_DX_Brazo_Menos,Post_Forz_Ext_DX_Brazo_1/3,Post_Forz_Ext_DX_Brazo_1/2,Post_Forz_Ext_DX_Brazo_2/3,Post_Forz_Ext_DX_Brazo_Todo,Post_Forz_Ext_DX_mu eca_Menos,Post_Forz_Ext_DX_mu eca_1/3,Post_Forz_Ext_DX_mu eca_1/2,Post_Forz_Ext_DX_mu eca_2/3,Post_Forz_Ext_DX_mu eca_Todo,Post_Forz_Ext_DX_Codo_Menos,Post_Forz_Ext_DX_Codo_1/3,Post_Forz_Ext_DX_Codo_1/2,Post_Forz_Ext_DX_Codo_2/3,Post_Forz_Ext_DX_Codo_Todo,Est_Ext_Sup_DX_Sup_15s,Est_Ext_Sup_DX_Entre_9_15s,Est_Ext_Sup_DX_Inf_8s,Est_Ext_Sup_DX_Frc_Rep_Mas_1/2,Est_Ext_Sup_DX_Frc_Rep_Casi_Todo_Tiemp,Post_Forz_Ext_IX_Mano_Menos,Post_Forz_Ext_IX_Mano_1/3,Post_Forz_Ext_IX_Mano_1/2,Post_Forz_Ext_IX_Mano_2/3,Post_Forz_Ext_IX_Mano_Todo,Post_Forz_Ext_IX_Brazo_Menos,Post_Forz_Ext_IX_Brazo_1/3,Post_Forz_Ext_IX_Brazo_1/2,Post_Forz_Ext_IX_Brazo_2/3,Post_Forz_Ext_IX_Brazo_Todo,Post_Forz_Ext_IX_mu eca_Menos,Post_Forz_Ext_IX_mu eca_1/3,Post_Forz_Ext_IX_mu eca_1/2,Post_Forz_Ext_IX_mu eca_2/3,Post_Forz_Ext_IX_mu eca_Todo,Post_Forz_Ext_IX_Codo_Menos,Post_Forz_Ext_IX_Codo_1/3,Post_Forz_Ext_IX_Codo_1/2,Post_Forz_Ext_IX_Codo_2/3,Post_Forz_Ext_IX_Codo_Todo,Est_Ext_Sup_IX_Sup_15s,Est_Ext_Sup_IX_Entre_9_15s,Est_Ext_Sup_IX_Inf_8s,Est_Ext_Sup_IX_Frc_Rep_Mas_1/2,Est_Ext_Sup_IX_Frc_Rep_Casi_Todo_Tiemp,Fuer_Extr_DX_Uso_Mod_Menos,Fuer_Extr_DX_Uso_Mod_1/3,Fuer_Extr_DX_Uso_Mod_1/2,Fuer_Extr_DX_Uso_Mod_2/3,Fuer_Extr_DX_Uso_Mod_Todo,Fuer_Extr_DX_Int_1_2 seg_cada 10m,Fuer_Ext_Dx_Int_1%_Tiemp,Fuer_Ext_Dx_Int_5%_Tiemp,Fuer_Ext_Dx_Int_mas_10%_Tiemp,Fuer_Extr_DX_Muy_Int_1_2 seg_cada 10m,Fuer_Ext_Dx_Muy_Int_1%_Tiemp,Fuer_Ext_Dx_Muy_Int_5%_Tiemp,Fuer_Ext_Dx_Muy_Int_mas_10%_Tiemp,Fuer_Extr_IX_Uso_Mod_Menos,Fuer_Extr_IX_Uso_Mod_1/3,Fuer_Extr_IX_Uso_Mod_1/2,Fuer_Extr_IX_Uso_Mod_2/3,Fuer_Extr_IX_Uso_Mod_Todo,Fuer_Extr_IX_Int_1_2 seg_cada 10m,Fuer_Ext_IX_Int_1%_Tiemp,Fuer_Ext_IX_Int_5%_Tiemp,Fuer_Ext_IX_Int_mas_10%_Tiemp,Fuer_Extr_IX_Muy_Int_1_2 seg_cada 10m,Fuer_Ext_IX_Muy_Int_1%_Tiemp,Fuer_Ext_IX_Muy_Int_5%_Tiemp,Fuer_Ext_IX_Muy_Int_mas_10%_Tiemp</t>
  </si>
  <si>
    <t>Id_archivo,Nombre_archivo,Chek_AC_PP_Estatico,Chek_AC_PP_Din mico,Chek_AC_PP_Bipedestaci n,Chek_AC_PP_Sedestaci n,Chek_AC_PP_Pnz_Fina,Chek_AC_PP_Tiron,Chek_AC_PP_Pren_Palmar,Chek_AC_PP_Pren_Pulgar,Chek_AC_PP_Conexionado,Chek_AC_PP_Flex_Mu eca,Chek_AC_PP_Vibraciones,Chek_AC_PP_Manual,Chek_AC_PP_Fregar,Chek_AC_PP_Toma_IX,Chek_AC_PP_Toma_DX,Chek_AC_PP_Toma_BX</t>
  </si>
  <si>
    <t>Chequeos</t>
  </si>
  <si>
    <t>Id_archivo,Nombre_archivo,Empresa,Departamento,Tarea_desc</t>
  </si>
  <si>
    <t>Id_archivo,Nombre_archivo,Dur_Tur_Of,Dur_Tur_Ef,Tiem_Tran_No_Rep,Num_Pau_Efec</t>
  </si>
  <si>
    <t>Id_archivo,Nombre_archivo,Punt_Final_Ocra_IX,Punt_Final_Ocra_DX</t>
  </si>
  <si>
    <t>datos</t>
  </si>
  <si>
    <t>Empresa,Departamento,Nro_Emp_H,Nro_Emp_M,Tarea_desc,Pre_Tar_Rep_SI,Pre_Tar_Rep_NO,Dur_Tur_Of,Dur_Tur_Ef,Tiem_Tran_No_Rep,Num_Pau_Efec,Tiem_Efec_Tot_Tot_Pau,Tiem_Efec_Pau_Com,Nro_Pau_30_Min,Nro_Un_Trab_Turn,Tiem_Net_Trab_Repet,Tiem_Cicl_Net_Calc,Tiem_Clic_Obs,Tiem_Obs_Repre,Min_NO_Just,Pre_Tiem_Recup_Dentro_Cicl,Dif_Tiem_Cicl_Obs_y_Est,Ext_Ana_Dx,Ext_Ana_ix,Ext_Ana_Bx,DX_Acciones,DX_Frec,IX_Acciones,IX_Frec,Pos_Brev_Int_NO,Pos_Brev_Int_SI,DX_Pres_2_NO,DX_Pres_2_SI,IX_Pres_2_NO,IX_Pres_2_SI,DX_Pres_2_NO,DX_Pres_2_SI,IX_Pres_3_NO,IX_Pres_3_SI,Post_Forz_Ext_DX_Mano_Menos,Post_Forz_Ext_DX_Mano_1/3,Post_Forz_Ext_DX_Mano_1/2,Post_Forz_Ext_DX_Mano_2/3,Post_Forz_Ext_DX_Mano_Todo,Post_Forz_Ext_DX_Brazo_Menos,Post_Forz_Ext_DX_Brazo_1/3,Post_Forz_Ext_DX_Brazo_1/2,Post_Forz_Ext_DX_Brazo_2/3,Post_Forz_Ext_DX_Brazo_Todo,Post_Forz_Ext_DX_mu eca_Menos,Post_Forz_Ext_DX_mu eca_1/3,Post_Forz_Ext_DX_mu eca_1/2,Post_Forz_Ext_DX_mu eca_2/3,Post_Forz_Ext_DX_mu eca_Todo,Post_Forz_Ext_DX_Codo_Menos,Post_Forz_Ext_DX_Codo_1/3,Post_Forz_Ext_DX_Codo_1/2,Post_Forz_Ext_DX_Codo_2/3,Post_Forz_Ext_DX_Codo_Todo,Est_Ext_Sup_DX_Sup_15s,Est_Ext_Sup_DX_Entre_9_15s,Est_Ext_Sup_DX_Inf_8s,Est_Ext_Sup_DX_Frc_Rep_Mas_1/2,Est_Ext_Sup_DX_Frc_Rep_Casi_Todo_Tiemp,Post_Forz_Ext_IX_Mano_Menos,Post_Forz_Ext_IX_Mano_1/3,Post_Forz_Ext_IX_Mano_1/2,Post_Forz_Ext_IX_Mano_2/3,Post_Forz_Ext_IX_Mano_Todo,Post_Forz_Ext_IX_Brazo_Menos,Post_Forz_Ext_IX_Brazo_1/3,Post_Forz_Ext_IX_Brazo_1/2,Post_Forz_Ext_IX_Brazo_2/3,Post_Forz_Ext_IX_Brazo_Todo,Post_Forz_Ext_IX_mu eca_Menos,Post_Forz_Ext_IX_mu eca_1/3,Post_Forz_Ext_IX_mu eca_1/2,Post_Forz_Ext_IX_mu eca_2/3,Post_Forz_Ext_IX_mu eca_Todo,Post_Forz_Ext_IX_Codo_Menos,Post_Forz_Ext_IX_Codo_1/3,Post_Forz_Ext_IX_Codo_1/2,Post_Forz_Ext_IX_Codo_2/3,Post_Forz_Ext_IX_Codo_Todo,Est_Ext_Sup_IX_Sup_15s,Est_Ext_Sup_IX_Entre_9_15s,Est_Ext_Sup_IX_Inf_8s,Est_Ext_Sup_IX_Frc_Rep_Mas_1/2,Est_Ext_Sup_IX_Frc_Rep_Casi_Todo_Tiemp,Fuer_Extr_DX_Uso_Mod_Menos,Fuer_Extr_DX_Uso_Mod_1/3,Fuer_Extr_DX_Uso_Mod_1/2,Fuer_Extr_DX_Uso_Mod_2/3,Fuer_Extr_DX_Uso_Mod_Todo,Fuer_Extr_DX_Int_1_2 seg_cada 10m,Fuer_Ext_Dx_Int_1%_Tiemp,Fuer_Ext_Dx_Int_5%_Tiemp,Fuer_Ext_Dx_Int_mas_10%_Tiemp,Fuer_Extr_DX_Muy_Int_1_2 seg_cada 10m,Fuer_Ext_Dx_Muy_Int_1%_Tiemp,Fuer_Ext_Dx_Muy_Int_5%_Tiemp,Fuer_Ext_Dx_Muy_Int_mas_10%_Tiemp,Fuer_Extr_IX_Uso_Mod_Menos,Fuer_Extr_IX_Uso_Mod_1/3,Fuer_Extr_IX_Uso_Mod_1/2,Fuer_Extr_IX_Uso_Mod_2/3,Fuer_Extr_IX_Uso_Mod_Todo,Fuer_Extr_IX_Int_1_2 seg_cada 10m,Fuer_Ext_IX_Int_1%_Tiemp,Fuer_Ext_IX_Int_5%_Tiemp,Fuer_Ext_IX_Int_mas_10%_Tiemp,Fuer_Extr_IX_Muy_Int_1_2 seg_cada 10m,Fuer_Ext_IX_Muy_Int_1%_Tiemp,Fuer_Ext_IX_Muy_Int_5%_Tiemp,Fuer_Ext_IX_Muy_Int_mas_10%_Tiemp,FC_Uso_Martillo_DX,FC_Uso_Manos_golpes_DX,FC_Uso_Vibraciones_DX,FC_Uso_Otros_DX,Ritmo_Imp_Pos_Ajus,Ritmo_Imp_Vel_Lenta,Ritma_No_Ajustable,FC_Uso_Martillo_IX,FC_Uso_Manos_golpes_IX,FC_Uso_Vibraciones_IX,FC_Uso_Otros_IX,Ind_Parcial_DX,Ind_Parcial_IX,Ind_Intrinseco_Dx,Ind_Intrinseco_IX,Ind_Ponderado_Dx,Ind_Ponderado_IX,Mult_Recuperacion_DX,Recup_DX,Frec_DX,Fuerza_DX,Hombro_DX,Codo_DX,Mu eca_DX,Mano_DX,Estereotipo_DX,Total_Post_DX,FC_DX,Punt_Final_Ocra_DX,Mult_Recuperacion_IX,Recup_IX,Frec_IX,Fuerza_IX,Hombro_IX,Codo_IX,Mu eca_IX,Mano_IX,Estereotipo_IX,Total_Post_IX,FC_IX,Punt_Final_Ocra_IX,Hs_Sin_Adec_Recup_Aut,Multiplicador_Recup_Aut,Hs_Sin_Adec_Recup_Manual,Multiplicador_Duraci n,Punt_Frec_DX,Punt_Frec_IX,Punt_Postura_DX,Punt_Postura_IX,Punt_Fuerz_DX,Punt_Fuerz_IX,Punt_Fact_Complem_DX,Punt_Fact_Complem_IX,Chek_AC_PP_Estatico,Chek_AC_PP_Din mico,Chek_AC_PP_Bipedestaci n,Chek_AC_PP_Sedestaci n,Chek_AC_PP_Pnz_Fina,Chek_AC_PP_Tiron,Chek_AC_PP_Pren_Palmar,Chek_AC_PP_Pren_Pulgar,Chek_AC_PP_Conexionado,Chek_AC_PP_Flex_Mu eca,Chek_AC_PP_Vibraciones,Chek_AC_PP_Manual,Chek_AC_PP_Fregar,Chek_AC_PP_Toma_IX,Chek_AC_PP_Toma_DX,Chek_AC_PP_Toma_BX</t>
  </si>
  <si>
    <t>Puesto 1</t>
  </si>
  <si>
    <t>Puesto 2</t>
  </si>
  <si>
    <t>Puesto 3</t>
  </si>
  <si>
    <t>Combinaciones</t>
  </si>
  <si>
    <t>Riesgo</t>
  </si>
  <si>
    <t>Acciones</t>
  </si>
  <si>
    <t>Maximo Riesgo</t>
  </si>
  <si>
    <t>Riesgo IX</t>
  </si>
  <si>
    <t>Riesgo DX</t>
  </si>
  <si>
    <t>Camara validacion</t>
  </si>
  <si>
    <t>D</t>
  </si>
  <si>
    <t>Carga de bateria</t>
  </si>
  <si>
    <t>CFC</t>
  </si>
  <si>
    <t>Cosmetica</t>
  </si>
  <si>
    <t>Cubierta trasera 1</t>
  </si>
  <si>
    <t>Cubierta trasera 2</t>
  </si>
  <si>
    <t>Cubierta trasera 3</t>
  </si>
  <si>
    <t>Cubierta trasera 4</t>
  </si>
  <si>
    <t>Cubierta trasera 5</t>
  </si>
  <si>
    <t>Cubierta trasera 6</t>
  </si>
  <si>
    <t>Empaque 1</t>
  </si>
  <si>
    <t>Empaque 2 - armado de caja master con equipos</t>
  </si>
  <si>
    <t>Empaque 2 - armado de caja unitaria</t>
  </si>
  <si>
    <t>Film cliente</t>
  </si>
  <si>
    <t>IMEI caja</t>
  </si>
  <si>
    <t>IMEI equipo</t>
  </si>
  <si>
    <t>L2 radio</t>
  </si>
  <si>
    <t>L2 vision</t>
  </si>
  <si>
    <t>Código Puesto</t>
  </si>
  <si>
    <t>Nombre Puesto</t>
  </si>
  <si>
    <t>Puestos Compatibles (Códigos)</t>
  </si>
  <si>
    <t>Puestos Compatibles (Nombres)</t>
  </si>
  <si>
    <t>ORDEN</t>
  </si>
  <si>
    <t>PUESTO</t>
  </si>
  <si>
    <t>Puesto 4</t>
  </si>
  <si>
    <t>Nombre puesto</t>
  </si>
  <si>
    <t>Puesto compatible</t>
  </si>
  <si>
    <t>Código puesto</t>
  </si>
  <si>
    <t>Código compatible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</si>
</sst>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rgb="FF1F1F1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3124"/>
        <bgColor rgb="FFFF3124"/>
      </patternFill>
    </fill>
    <fill>
      <patternFill patternType="solid">
        <fgColor rgb="FFFFFFFF"/>
        <bgColor rgb="FFFFFFFF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4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49" fontId="0" fillId="0" borderId="0" xfId="0" applyNumberFormat="1"/>
    <xf numFmtId="0" fontId="0" fillId="0" borderId="0" xfId="0" applyNumberFormat="1"/>
    <xf numFmtId="0" fontId="2" fillId="0" borderId="0" xfId="1" applyAlignment="1" applyProtection="1"/>
    <xf numFmtId="0" fontId="0" fillId="2" borderId="0" xfId="0" applyFill="1"/>
    <xf numFmtId="49" fontId="1" fillId="0" borderId="0" xfId="0" applyNumberFormat="1" applyFont="1"/>
    <xf numFmtId="0" fontId="0" fillId="0" borderId="0" xfId="0" applyAlignment="1">
      <alignment horizontal="center"/>
    </xf>
    <xf numFmtId="0" fontId="5" fillId="3" borderId="0" xfId="2" applyFont="1" applyFill="1" applyAlignment="1">
      <alignment horizontal="left" vertical="center"/>
    </xf>
    <xf numFmtId="0" fontId="5" fillId="3" borderId="0" xfId="2" applyFont="1" applyFill="1" applyAlignment="1">
      <alignment horizontal="center" vertical="center"/>
    </xf>
    <xf numFmtId="0" fontId="6" fillId="3" borderId="0" xfId="2" applyFont="1" applyFill="1" applyAlignment="1">
      <alignment horizontal="center" vertical="center"/>
    </xf>
    <xf numFmtId="0" fontId="6" fillId="3" borderId="0" xfId="2" applyFont="1" applyFill="1" applyAlignment="1">
      <alignment horizontal="left"/>
    </xf>
    <xf numFmtId="0" fontId="4" fillId="0" borderId="0" xfId="2" applyFont="1" applyAlignment="1"/>
    <xf numFmtId="0" fontId="7" fillId="3" borderId="1" xfId="2" applyFont="1" applyFill="1" applyBorder="1" applyAlignment="1">
      <alignment horizontal="left" vertical="center"/>
    </xf>
    <xf numFmtId="0" fontId="8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0" fontId="7" fillId="3" borderId="2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 wrapText="1"/>
    </xf>
    <xf numFmtId="0" fontId="9" fillId="0" borderId="3" xfId="2" applyFont="1" applyBorder="1" applyAlignment="1">
      <alignment horizontal="left" vertical="center" wrapText="1"/>
    </xf>
    <xf numFmtId="0" fontId="9" fillId="0" borderId="3" xfId="2" applyFont="1" applyBorder="1" applyAlignment="1">
      <alignment horizontal="center" vertical="center" wrapText="1"/>
    </xf>
    <xf numFmtId="0" fontId="10" fillId="0" borderId="3" xfId="2" applyFont="1" applyBorder="1" applyAlignment="1">
      <alignment horizontal="left" vertical="center" wrapText="1"/>
    </xf>
    <xf numFmtId="0" fontId="6" fillId="0" borderId="0" xfId="2" applyFont="1" applyAlignment="1">
      <alignment vertical="center" wrapText="1"/>
    </xf>
    <xf numFmtId="164" fontId="9" fillId="0" borderId="3" xfId="2" applyNumberFormat="1" applyFont="1" applyBorder="1" applyAlignment="1">
      <alignment horizontal="center" vertical="center" wrapText="1"/>
    </xf>
    <xf numFmtId="9" fontId="9" fillId="0" borderId="3" xfId="2" applyNumberFormat="1" applyFont="1" applyBorder="1" applyAlignment="1">
      <alignment horizontal="center" vertical="center" wrapText="1"/>
    </xf>
    <xf numFmtId="3" fontId="9" fillId="0" borderId="3" xfId="2" applyNumberFormat="1" applyFont="1" applyBorder="1" applyAlignment="1">
      <alignment horizontal="center" vertical="center" wrapText="1"/>
    </xf>
    <xf numFmtId="0" fontId="11" fillId="4" borderId="0" xfId="2" applyFont="1" applyFill="1" applyAlignment="1">
      <alignment horizontal="center"/>
    </xf>
    <xf numFmtId="0" fontId="6" fillId="0" borderId="0" xfId="2" applyFont="1" applyAlignment="1">
      <alignment horizontal="left"/>
    </xf>
    <xf numFmtId="0" fontId="6" fillId="0" borderId="0" xfId="2" applyFont="1" applyAlignment="1">
      <alignment horizontal="center"/>
    </xf>
    <xf numFmtId="0" fontId="1" fillId="5" borderId="0" xfId="0" applyFont="1" applyFill="1"/>
    <xf numFmtId="0" fontId="1" fillId="5" borderId="0" xfId="0" applyFont="1" applyFill="1" applyAlignment="1">
      <alignment horizont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jpeg"/><Relationship Id="rId7" Type="http://schemas.openxmlformats.org/officeDocument/2006/relationships/image" Target="../media/image8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5" Type="http://schemas.openxmlformats.org/officeDocument/2006/relationships/image" Target="../media/image6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180975</xdr:rowOff>
        </xdr:from>
        <xdr:to>
          <xdr:col>2</xdr:col>
          <xdr:colOff>752475</xdr:colOff>
          <xdr:row>1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180975</xdr:rowOff>
        </xdr:from>
        <xdr:to>
          <xdr:col>2</xdr:col>
          <xdr:colOff>752475</xdr:colOff>
          <xdr:row>4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161925</xdr:rowOff>
        </xdr:from>
        <xdr:to>
          <xdr:col>3</xdr:col>
          <xdr:colOff>0</xdr:colOff>
          <xdr:row>7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xmlns="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5</xdr:row>
          <xdr:rowOff>0</xdr:rowOff>
        </xdr:from>
        <xdr:to>
          <xdr:col>2</xdr:col>
          <xdr:colOff>733425</xdr:colOff>
          <xdr:row>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Combinaciones4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0</xdr:rowOff>
        </xdr:from>
        <xdr:to>
          <xdr:col>6</xdr:col>
          <xdr:colOff>733425</xdr:colOff>
          <xdr:row>6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Combinaciones1a1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304800</xdr:colOff>
      <xdr:row>0</xdr:row>
      <xdr:rowOff>0</xdr:rowOff>
    </xdr:from>
    <xdr:ext cx="1590675" cy="809625"/>
    <xdr:pic>
      <xdr:nvPicPr>
        <xdr:cNvPr id="2" name="image1.png" title="Imagen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553825" y="0"/>
          <a:ext cx="1590675" cy="80962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657225</xdr:colOff>
      <xdr:row>25</xdr:row>
      <xdr:rowOff>85725</xdr:rowOff>
    </xdr:from>
    <xdr:ext cx="676275" cy="504825"/>
    <xdr:pic>
      <xdr:nvPicPr>
        <xdr:cNvPr id="2" name="image9.jpg" descr="pinza2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91225" y="5419725"/>
          <a:ext cx="67627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180975</xdr:colOff>
      <xdr:row>25</xdr:row>
      <xdr:rowOff>57150</xdr:rowOff>
    </xdr:from>
    <xdr:ext cx="581025" cy="523875"/>
    <xdr:pic>
      <xdr:nvPicPr>
        <xdr:cNvPr id="3" name="image2.jpg" descr="palmar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038975" y="5391150"/>
          <a:ext cx="581025" cy="5238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409575</xdr:colOff>
      <xdr:row>25</xdr:row>
      <xdr:rowOff>85725</xdr:rowOff>
    </xdr:from>
    <xdr:ext cx="352425" cy="504825"/>
    <xdr:pic>
      <xdr:nvPicPr>
        <xdr:cNvPr id="4" name="image5.jpg" descr="gancho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8029575" y="5419725"/>
          <a:ext cx="35242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29</xdr:row>
      <xdr:rowOff>95250</xdr:rowOff>
    </xdr:from>
    <xdr:ext cx="647700" cy="714375"/>
    <xdr:pic>
      <xdr:nvPicPr>
        <xdr:cNvPr id="5" name="image3.jpg" descr="brazo delante zona3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29375" y="6191250"/>
          <a:ext cx="647700" cy="7143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504825</xdr:colOff>
      <xdr:row>29</xdr:row>
      <xdr:rowOff>47625</xdr:rowOff>
    </xdr:from>
    <xdr:ext cx="1181100" cy="723900"/>
    <xdr:pic>
      <xdr:nvPicPr>
        <xdr:cNvPr id="6" name="image1.jpg" descr="brazo lateral zona3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8124825" y="6143625"/>
          <a:ext cx="1181100" cy="723900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304800</xdr:colOff>
      <xdr:row>34</xdr:row>
      <xdr:rowOff>104775</xdr:rowOff>
    </xdr:from>
    <xdr:ext cx="838200" cy="476250"/>
    <xdr:pic>
      <xdr:nvPicPr>
        <xdr:cNvPr id="7" name="image10.jpg" descr="flexion muñeca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00800" y="7153275"/>
          <a:ext cx="838200" cy="476250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247650</xdr:colOff>
      <xdr:row>33</xdr:row>
      <xdr:rowOff>28575</xdr:rowOff>
    </xdr:from>
    <xdr:ext cx="742950" cy="942975"/>
    <xdr:pic>
      <xdr:nvPicPr>
        <xdr:cNvPr id="8" name="image4.jpg" descr="desviacion cubital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7867650" y="6886575"/>
          <a:ext cx="742950" cy="94297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704850</xdr:colOff>
      <xdr:row>40</xdr:row>
      <xdr:rowOff>47625</xdr:rowOff>
    </xdr:from>
    <xdr:ext cx="409575" cy="828675"/>
    <xdr:pic>
      <xdr:nvPicPr>
        <xdr:cNvPr id="9" name="image8.jpg" descr="flexion codo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0850" y="8239125"/>
          <a:ext cx="409575" cy="8286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95250</xdr:colOff>
      <xdr:row>40</xdr:row>
      <xdr:rowOff>133350</xdr:rowOff>
    </xdr:from>
    <xdr:ext cx="581025" cy="714375"/>
    <xdr:pic>
      <xdr:nvPicPr>
        <xdr:cNvPr id="10" name="image7.jpg" descr="supinacion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7715250" y="8324850"/>
          <a:ext cx="581025" cy="714375"/>
        </a:xfrm>
        <a:prstGeom prst="rect">
          <a:avLst/>
        </a:prstGeom>
        <a:noFill/>
      </xdr:spPr>
    </xdr:pic>
    <xdr:clientData fLocksWithSheet="0"/>
  </xdr:oneCellAnchor>
  <xdr:oneCellAnchor>
    <xdr:from>
      <xdr:col>8</xdr:col>
      <xdr:colOff>657225</xdr:colOff>
      <xdr:row>46</xdr:row>
      <xdr:rowOff>85725</xdr:rowOff>
    </xdr:from>
    <xdr:ext cx="676275" cy="504825"/>
    <xdr:pic>
      <xdr:nvPicPr>
        <xdr:cNvPr id="11" name="image9.jpg" descr="pinza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91225" y="5419725"/>
          <a:ext cx="67627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180975</xdr:colOff>
      <xdr:row>46</xdr:row>
      <xdr:rowOff>57150</xdr:rowOff>
    </xdr:from>
    <xdr:ext cx="581025" cy="523875"/>
    <xdr:pic>
      <xdr:nvPicPr>
        <xdr:cNvPr id="12" name="image2.jpg" descr="palmar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038975" y="5391150"/>
          <a:ext cx="581025" cy="5238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409575</xdr:colOff>
      <xdr:row>46</xdr:row>
      <xdr:rowOff>85725</xdr:rowOff>
    </xdr:from>
    <xdr:ext cx="352425" cy="504825"/>
    <xdr:pic>
      <xdr:nvPicPr>
        <xdr:cNvPr id="13" name="image5.jpg" descr="gancho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8029575" y="5419725"/>
          <a:ext cx="35242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50</xdr:row>
      <xdr:rowOff>95250</xdr:rowOff>
    </xdr:from>
    <xdr:ext cx="647700" cy="714375"/>
    <xdr:pic>
      <xdr:nvPicPr>
        <xdr:cNvPr id="14" name="image3.jpg" descr="brazo delante zona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29375" y="6191250"/>
          <a:ext cx="647700" cy="7143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504825</xdr:colOff>
      <xdr:row>50</xdr:row>
      <xdr:rowOff>47625</xdr:rowOff>
    </xdr:from>
    <xdr:ext cx="1181100" cy="723900"/>
    <xdr:pic>
      <xdr:nvPicPr>
        <xdr:cNvPr id="15" name="image1.jpg" descr="brazo lateral zona3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8124825" y="6143625"/>
          <a:ext cx="1181100" cy="723900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304800</xdr:colOff>
      <xdr:row>55</xdr:row>
      <xdr:rowOff>104775</xdr:rowOff>
    </xdr:from>
    <xdr:ext cx="838200" cy="476250"/>
    <xdr:pic>
      <xdr:nvPicPr>
        <xdr:cNvPr id="16" name="image10.jpg" descr="flexion muñeca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00800" y="7153275"/>
          <a:ext cx="838200" cy="476250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247650</xdr:colOff>
      <xdr:row>54</xdr:row>
      <xdr:rowOff>28575</xdr:rowOff>
    </xdr:from>
    <xdr:ext cx="742950" cy="942975"/>
    <xdr:pic>
      <xdr:nvPicPr>
        <xdr:cNvPr id="17" name="image4.jpg" descr="desviacion cubital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7867650" y="6886575"/>
          <a:ext cx="742950" cy="94297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704850</xdr:colOff>
      <xdr:row>61</xdr:row>
      <xdr:rowOff>47625</xdr:rowOff>
    </xdr:from>
    <xdr:ext cx="409575" cy="828675"/>
    <xdr:pic>
      <xdr:nvPicPr>
        <xdr:cNvPr id="18" name="image8.jpg" descr="flexion codo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0850" y="8239125"/>
          <a:ext cx="409575" cy="8286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95250</xdr:colOff>
      <xdr:row>61</xdr:row>
      <xdr:rowOff>133350</xdr:rowOff>
    </xdr:from>
    <xdr:ext cx="581025" cy="714375"/>
    <xdr:pic>
      <xdr:nvPicPr>
        <xdr:cNvPr id="19" name="image7.jpg" descr="supinacion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7715250" y="8324850"/>
          <a:ext cx="581025" cy="714375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0"/>
  <sheetViews>
    <sheetView tabSelected="1" workbookViewId="0">
      <selection activeCell="G11" sqref="G11"/>
    </sheetView>
  </sheetViews>
  <sheetFormatPr baseColWidth="10" defaultRowHeight="15" x14ac:dyDescent="0.25"/>
  <sheetData>
    <row r="10" spans="2:2" x14ac:dyDescent="0.25">
      <c r="B10" s="6" t="s">
        <v>241</v>
      </c>
    </row>
  </sheetData>
  <hyperlinks>
    <hyperlink ref="B10" location="diccionario!A1" display="Diccionari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ExtraerDatosDesdeArchivos">
                <anchor moveWithCells="1" sizeWithCells="1">
                  <from>
                    <xdr:col>1</xdr:col>
                    <xdr:colOff>0</xdr:colOff>
                    <xdr:row>0</xdr:row>
                    <xdr:rowOff>180975</xdr:rowOff>
                  </from>
                  <to>
                    <xdr:col>2</xdr:col>
                    <xdr:colOff>752475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opiarDatosDesdeConfiguracion">
                <anchor moveWithCells="1" sizeWithCells="1">
                  <from>
                    <xdr:col>1</xdr:col>
                    <xdr:colOff>9525</xdr:colOff>
                    <xdr:row>2</xdr:row>
                    <xdr:rowOff>180975</xdr:rowOff>
                  </from>
                  <to>
                    <xdr:col>2</xdr:col>
                    <xdr:colOff>752475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BorrarDatosDePestanas">
                <anchor moveWithCells="1" sizeWithCells="1">
                  <from>
                    <xdr:col>1</xdr:col>
                    <xdr:colOff>0</xdr:colOff>
                    <xdr:row>6</xdr:row>
                    <xdr:rowOff>161925</xdr:rowOff>
                  </from>
                  <to>
                    <xdr:col>3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GenerarCombinacionesPaso4">
                <anchor moveWithCells="1" sizeWithCells="1">
                  <from>
                    <xdr:col>0</xdr:col>
                    <xdr:colOff>742950</xdr:colOff>
                    <xdr:row>5</xdr:row>
                    <xdr:rowOff>0</xdr:rowOff>
                  </from>
                  <to>
                    <xdr:col>2</xdr:col>
                    <xdr:colOff>733425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GenerarCombinaciones1a1">
                <anchor moveWithCells="1" sizeWithCells="1">
                  <from>
                    <xdr:col>4</xdr:col>
                    <xdr:colOff>742950</xdr:colOff>
                    <xdr:row>5</xdr:row>
                    <xdr:rowOff>0</xdr:rowOff>
                  </from>
                  <to>
                    <xdr:col>6</xdr:col>
                    <xdr:colOff>733425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U17"/>
  <sheetViews>
    <sheetView workbookViewId="0">
      <pane xSplit="1" topLeftCell="B1" activePane="topRight" state="frozen"/>
      <selection pane="topRight" activeCell="N5" sqref="N5"/>
    </sheetView>
  </sheetViews>
  <sheetFormatPr baseColWidth="10" defaultColWidth="4.7109375" defaultRowHeight="15" x14ac:dyDescent="0.25"/>
  <sheetData>
    <row r="1" spans="1:21" x14ac:dyDescent="0.25">
      <c r="B1" t="s">
        <v>443</v>
      </c>
      <c r="C1" t="s">
        <v>444</v>
      </c>
      <c r="D1" t="s">
        <v>445</v>
      </c>
      <c r="E1" t="s">
        <v>446</v>
      </c>
      <c r="F1" t="s">
        <v>447</v>
      </c>
      <c r="G1" t="s">
        <v>448</v>
      </c>
      <c r="H1" t="s">
        <v>449</v>
      </c>
      <c r="I1" t="s">
        <v>450</v>
      </c>
      <c r="J1" t="s">
        <v>451</v>
      </c>
      <c r="K1" t="s">
        <v>452</v>
      </c>
      <c r="L1" t="s">
        <v>453</v>
      </c>
      <c r="M1" t="s">
        <v>454</v>
      </c>
      <c r="N1" t="s">
        <v>455</v>
      </c>
      <c r="O1" t="s">
        <v>456</v>
      </c>
      <c r="P1" t="s">
        <v>457</v>
      </c>
      <c r="Q1" t="s">
        <v>458</v>
      </c>
    </row>
    <row r="2" spans="1:21" x14ac:dyDescent="0.25">
      <c r="A2" t="s">
        <v>443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x14ac:dyDescent="0.25">
      <c r="A3" t="s">
        <v>444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x14ac:dyDescent="0.25">
      <c r="A4" t="s">
        <v>445</v>
      </c>
      <c r="B4" s="1"/>
      <c r="C4" s="1"/>
      <c r="D4" s="1" t="s">
        <v>4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x14ac:dyDescent="0.25">
      <c r="A5" t="s">
        <v>446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t="s">
        <v>447</v>
      </c>
      <c r="B6" s="1"/>
      <c r="C6" s="1"/>
      <c r="D6" s="1"/>
      <c r="E6" s="1"/>
      <c r="F6" s="1" t="s">
        <v>4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x14ac:dyDescent="0.25">
      <c r="A7" t="s">
        <v>448</v>
      </c>
      <c r="B7" s="1"/>
      <c r="C7" s="1"/>
      <c r="D7" s="1"/>
      <c r="E7" s="1"/>
      <c r="F7" s="1"/>
      <c r="G7" s="1" t="s">
        <v>4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x14ac:dyDescent="0.25">
      <c r="A8" t="s">
        <v>449</v>
      </c>
      <c r="B8" s="1"/>
      <c r="C8" s="1"/>
      <c r="D8" s="1"/>
      <c r="E8" s="1"/>
      <c r="F8" s="1" t="s">
        <v>4</v>
      </c>
      <c r="G8" s="1"/>
      <c r="H8" s="1" t="s">
        <v>4</v>
      </c>
      <c r="I8" s="1" t="s">
        <v>4</v>
      </c>
      <c r="J8" s="1" t="s">
        <v>4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x14ac:dyDescent="0.25">
      <c r="A9" t="s">
        <v>450</v>
      </c>
      <c r="B9" s="1"/>
      <c r="C9" s="1"/>
      <c r="D9" s="1"/>
      <c r="E9" s="1"/>
      <c r="F9" s="1"/>
      <c r="G9" s="1"/>
      <c r="H9" s="1" t="s">
        <v>4</v>
      </c>
      <c r="I9" s="1" t="s">
        <v>4</v>
      </c>
      <c r="J9" s="1" t="s">
        <v>4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x14ac:dyDescent="0.25">
      <c r="A10" t="s">
        <v>451</v>
      </c>
      <c r="B10" s="1"/>
      <c r="C10" s="1"/>
      <c r="D10" s="1"/>
      <c r="E10" s="1"/>
      <c r="F10" s="1"/>
      <c r="G10" s="1" t="s">
        <v>4</v>
      </c>
      <c r="H10" s="1"/>
      <c r="I10" s="1"/>
      <c r="J10" s="1" t="s">
        <v>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5">
      <c r="A11" t="s">
        <v>452</v>
      </c>
      <c r="B11" s="1"/>
      <c r="C11" s="1"/>
      <c r="D11" s="1"/>
      <c r="E11" s="1"/>
      <c r="F11" s="1"/>
      <c r="G11" s="1"/>
      <c r="H11" s="1"/>
      <c r="I11" s="1"/>
      <c r="J11" s="1"/>
      <c r="K11" s="1" t="s">
        <v>4</v>
      </c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5">
      <c r="A12" t="s">
        <v>453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 t="s">
        <v>4</v>
      </c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5">
      <c r="A13" t="s">
        <v>454</v>
      </c>
      <c r="B13" s="1"/>
      <c r="C13" s="1"/>
      <c r="D13" s="1"/>
      <c r="E13" s="1"/>
      <c r="F13" s="1" t="s">
        <v>4</v>
      </c>
      <c r="G13" s="1" t="s">
        <v>4</v>
      </c>
      <c r="H13" s="1" t="s">
        <v>4</v>
      </c>
      <c r="I13" s="1" t="s">
        <v>4</v>
      </c>
      <c r="J13" s="1" t="s">
        <v>4</v>
      </c>
      <c r="K13" s="1"/>
      <c r="L13" s="1" t="s">
        <v>4</v>
      </c>
      <c r="M13" s="1" t="s">
        <v>4</v>
      </c>
      <c r="N13" s="1" t="s">
        <v>4</v>
      </c>
      <c r="O13" s="1"/>
      <c r="P13" s="1"/>
      <c r="Q13" s="1"/>
      <c r="R13" s="1"/>
      <c r="S13" s="1"/>
      <c r="T13" s="1"/>
      <c r="U13" s="1"/>
    </row>
    <row r="14" spans="1:21" x14ac:dyDescent="0.25">
      <c r="A14" t="s">
        <v>455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 t="s">
        <v>4</v>
      </c>
      <c r="O14" s="1"/>
      <c r="P14" s="1"/>
      <c r="Q14" s="1"/>
      <c r="R14" s="1"/>
      <c r="S14" s="1"/>
      <c r="T14" s="1"/>
      <c r="U14" s="1"/>
    </row>
    <row r="15" spans="1:21" x14ac:dyDescent="0.25">
      <c r="A15" t="s">
        <v>456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 t="s">
        <v>4</v>
      </c>
      <c r="P15" s="1"/>
      <c r="Q15" s="1"/>
      <c r="R15" s="1"/>
      <c r="S15" s="1"/>
      <c r="T15" s="1"/>
      <c r="U15" s="1"/>
    </row>
    <row r="16" spans="1:21" x14ac:dyDescent="0.25">
      <c r="A16" t="s">
        <v>457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 t="s">
        <v>4</v>
      </c>
      <c r="Q16" s="1"/>
      <c r="R16" s="1"/>
      <c r="S16" s="1"/>
      <c r="T16" s="1"/>
      <c r="U16" s="1"/>
    </row>
    <row r="17" spans="1:21" x14ac:dyDescent="0.25">
      <c r="A17" t="s">
        <v>458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outlinePr summaryBelow="0" summaryRight="0"/>
  </sheetPr>
  <dimension ref="A1:AD997"/>
  <sheetViews>
    <sheetView zoomScale="70" zoomScaleNormal="70" workbookViewId="0">
      <pane ySplit="3" topLeftCell="A167" activePane="bottomLeft" state="frozen"/>
      <selection pane="bottomLeft"/>
    </sheetView>
  </sheetViews>
  <sheetFormatPr baseColWidth="10" defaultColWidth="12.5703125" defaultRowHeight="15.75" customHeight="1" x14ac:dyDescent="0.2"/>
  <cols>
    <col min="1" max="1" width="36.7109375" style="14" customWidth="1"/>
    <col min="2" max="2" width="10.140625" style="14" customWidth="1"/>
    <col min="3" max="3" width="39.42578125" style="14" customWidth="1"/>
    <col min="4" max="4" width="10.140625" style="14" customWidth="1"/>
    <col min="5" max="5" width="11.5703125" style="14" customWidth="1"/>
    <col min="6" max="6" width="40.5703125" style="14" customWidth="1"/>
    <col min="7" max="7" width="20.140625" style="14" customWidth="1"/>
    <col min="8" max="8" width="19.140625" style="14" customWidth="1"/>
    <col min="9" max="9" width="39.7109375" style="14" customWidth="1"/>
    <col min="10" max="16384" width="12.5703125" style="14"/>
  </cols>
  <sheetData>
    <row r="1" spans="1:30" ht="33" customHeight="1" x14ac:dyDescent="0.2">
      <c r="A1" s="10" t="s">
        <v>485</v>
      </c>
      <c r="B1" s="11"/>
      <c r="C1" s="11"/>
      <c r="D1" s="11" t="s">
        <v>486</v>
      </c>
      <c r="E1" s="11"/>
      <c r="F1" s="10" t="s">
        <v>487</v>
      </c>
      <c r="G1" s="11"/>
      <c r="H1" s="12"/>
      <c r="I1" s="13"/>
    </row>
    <row r="2" spans="1:30" ht="33" customHeight="1" thickBot="1" x14ac:dyDescent="0.25">
      <c r="A2" s="10" t="s">
        <v>488</v>
      </c>
      <c r="B2" s="11"/>
      <c r="C2" s="11"/>
      <c r="D2" s="11" t="s">
        <v>489</v>
      </c>
      <c r="E2" s="11"/>
      <c r="F2" s="10"/>
      <c r="G2" s="11"/>
      <c r="H2" s="12"/>
      <c r="I2" s="13"/>
    </row>
    <row r="3" spans="1:30" ht="32.25" thickTop="1" x14ac:dyDescent="0.2">
      <c r="A3" s="15" t="s">
        <v>490</v>
      </c>
      <c r="B3" s="16" t="s">
        <v>491</v>
      </c>
      <c r="C3" s="16" t="s">
        <v>492</v>
      </c>
      <c r="D3" s="17" t="s">
        <v>493</v>
      </c>
      <c r="E3" s="18" t="s">
        <v>494</v>
      </c>
      <c r="F3" s="15" t="s">
        <v>163</v>
      </c>
      <c r="G3" s="19" t="s">
        <v>495</v>
      </c>
      <c r="H3" s="17" t="s">
        <v>496</v>
      </c>
      <c r="I3" s="15" t="s">
        <v>497</v>
      </c>
    </row>
    <row r="4" spans="1:30" ht="43.5" customHeight="1" x14ac:dyDescent="0.2">
      <c r="A4" s="20" t="s">
        <v>279</v>
      </c>
      <c r="B4" s="21" t="s">
        <v>498</v>
      </c>
      <c r="C4" s="21" t="s">
        <v>279</v>
      </c>
      <c r="D4" s="21" t="s">
        <v>35</v>
      </c>
      <c r="E4" s="21" t="s">
        <v>499</v>
      </c>
      <c r="F4" s="20" t="s">
        <v>500</v>
      </c>
      <c r="G4" s="21" t="s">
        <v>501</v>
      </c>
      <c r="H4" s="21" t="s">
        <v>502</v>
      </c>
      <c r="I4" s="22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</row>
    <row r="5" spans="1:30" ht="43.5" customHeight="1" x14ac:dyDescent="0.2">
      <c r="A5" s="20" t="s">
        <v>280</v>
      </c>
      <c r="B5" s="21" t="s">
        <v>503</v>
      </c>
      <c r="C5" s="21" t="s">
        <v>280</v>
      </c>
      <c r="D5" s="21" t="s">
        <v>35</v>
      </c>
      <c r="E5" s="21" t="s">
        <v>499</v>
      </c>
      <c r="F5" s="20" t="s">
        <v>504</v>
      </c>
      <c r="G5" s="21" t="s">
        <v>501</v>
      </c>
      <c r="H5" s="21" t="s">
        <v>459</v>
      </c>
      <c r="I5" s="22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</row>
    <row r="6" spans="1:30" ht="43.5" customHeight="1" x14ac:dyDescent="0.2">
      <c r="A6" s="20" t="s">
        <v>505</v>
      </c>
      <c r="B6" s="21" t="s">
        <v>506</v>
      </c>
      <c r="C6" s="21" t="s">
        <v>281</v>
      </c>
      <c r="D6" s="21" t="s">
        <v>507</v>
      </c>
      <c r="E6" s="21">
        <v>4</v>
      </c>
      <c r="F6" s="20" t="s">
        <v>508</v>
      </c>
      <c r="G6" s="21" t="s">
        <v>509</v>
      </c>
      <c r="H6" s="21">
        <v>4</v>
      </c>
      <c r="I6" s="22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</row>
    <row r="7" spans="1:30" ht="43.5" customHeight="1" x14ac:dyDescent="0.2">
      <c r="A7" s="20" t="s">
        <v>510</v>
      </c>
      <c r="B7" s="21" t="s">
        <v>511</v>
      </c>
      <c r="C7" s="21" t="s">
        <v>282</v>
      </c>
      <c r="D7" s="21" t="s">
        <v>507</v>
      </c>
      <c r="E7" s="21">
        <v>4</v>
      </c>
      <c r="F7" s="20" t="s">
        <v>512</v>
      </c>
      <c r="G7" s="21" t="s">
        <v>513</v>
      </c>
      <c r="H7" s="21">
        <v>1</v>
      </c>
      <c r="I7" s="22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</row>
    <row r="8" spans="1:30" ht="43.5" customHeight="1" x14ac:dyDescent="0.2">
      <c r="A8" s="20" t="s">
        <v>514</v>
      </c>
      <c r="B8" s="21" t="s">
        <v>515</v>
      </c>
      <c r="C8" s="21" t="s">
        <v>167</v>
      </c>
      <c r="D8" s="21" t="s">
        <v>35</v>
      </c>
      <c r="E8" s="21" t="s">
        <v>499</v>
      </c>
      <c r="F8" s="20" t="s">
        <v>516</v>
      </c>
      <c r="G8" s="21" t="s">
        <v>517</v>
      </c>
      <c r="H8" s="21" t="s">
        <v>518</v>
      </c>
      <c r="I8" s="22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</row>
    <row r="9" spans="1:30" ht="43.5" customHeight="1" x14ac:dyDescent="0.2">
      <c r="A9" s="20" t="s">
        <v>519</v>
      </c>
      <c r="B9" s="21" t="s">
        <v>520</v>
      </c>
      <c r="C9" s="21" t="s">
        <v>283</v>
      </c>
      <c r="D9" s="21" t="s">
        <v>521</v>
      </c>
      <c r="E9" s="21">
        <v>1</v>
      </c>
      <c r="F9" s="20" t="s">
        <v>522</v>
      </c>
      <c r="G9" s="21" t="s">
        <v>523</v>
      </c>
      <c r="H9" s="21" t="s">
        <v>524</v>
      </c>
      <c r="I9" s="22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</row>
    <row r="10" spans="1:30" ht="43.5" customHeight="1" x14ac:dyDescent="0.2">
      <c r="A10" s="20" t="s">
        <v>525</v>
      </c>
      <c r="B10" s="21" t="s">
        <v>526</v>
      </c>
      <c r="C10" s="21" t="s">
        <v>284</v>
      </c>
      <c r="D10" s="21" t="s">
        <v>521</v>
      </c>
      <c r="E10" s="21">
        <v>1</v>
      </c>
      <c r="F10" s="20" t="s">
        <v>522</v>
      </c>
      <c r="G10" s="21" t="s">
        <v>527</v>
      </c>
      <c r="H10" s="21" t="s">
        <v>528</v>
      </c>
      <c r="I10" s="22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</row>
    <row r="11" spans="1:30" ht="43.5" customHeight="1" x14ac:dyDescent="0.2">
      <c r="A11" s="20" t="s">
        <v>529</v>
      </c>
      <c r="B11" s="21" t="s">
        <v>530</v>
      </c>
      <c r="C11" s="21" t="s">
        <v>285</v>
      </c>
      <c r="D11" s="21" t="s">
        <v>507</v>
      </c>
      <c r="E11" s="21">
        <v>4</v>
      </c>
      <c r="F11" s="20" t="s">
        <v>531</v>
      </c>
      <c r="G11" s="21" t="s">
        <v>532</v>
      </c>
      <c r="H11" s="21">
        <v>540</v>
      </c>
      <c r="I11" s="22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</row>
    <row r="12" spans="1:30" ht="43.5" customHeight="1" x14ac:dyDescent="0.2">
      <c r="A12" s="20" t="s">
        <v>533</v>
      </c>
      <c r="B12" s="21" t="s">
        <v>534</v>
      </c>
      <c r="C12" s="21" t="s">
        <v>286</v>
      </c>
      <c r="D12" s="21" t="s">
        <v>507</v>
      </c>
      <c r="E12" s="21">
        <v>4</v>
      </c>
      <c r="F12" s="20" t="s">
        <v>535</v>
      </c>
      <c r="G12" s="21" t="s">
        <v>532</v>
      </c>
      <c r="H12" s="21">
        <v>480</v>
      </c>
      <c r="I12" s="22" t="s">
        <v>536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</row>
    <row r="13" spans="1:30" ht="43.5" customHeight="1" x14ac:dyDescent="0.2">
      <c r="A13" s="20" t="s">
        <v>537</v>
      </c>
      <c r="B13" s="21" t="s">
        <v>538</v>
      </c>
      <c r="C13" s="21" t="s">
        <v>287</v>
      </c>
      <c r="D13" s="21" t="s">
        <v>507</v>
      </c>
      <c r="E13" s="21">
        <v>4</v>
      </c>
      <c r="F13" s="20" t="s">
        <v>539</v>
      </c>
      <c r="G13" s="21" t="s">
        <v>532</v>
      </c>
      <c r="H13" s="21">
        <v>60</v>
      </c>
      <c r="I13" s="22" t="s">
        <v>540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</row>
    <row r="14" spans="1:30" ht="43.5" customHeight="1" x14ac:dyDescent="0.2">
      <c r="A14" s="20" t="s">
        <v>541</v>
      </c>
      <c r="B14" s="21" t="s">
        <v>542</v>
      </c>
      <c r="C14" s="21" t="s">
        <v>288</v>
      </c>
      <c r="D14" s="21" t="s">
        <v>507</v>
      </c>
      <c r="E14" s="21">
        <v>2</v>
      </c>
      <c r="F14" s="20" t="s">
        <v>543</v>
      </c>
      <c r="G14" s="21" t="s">
        <v>513</v>
      </c>
      <c r="H14" s="21">
        <v>2</v>
      </c>
      <c r="I14" s="22" t="s">
        <v>544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</row>
    <row r="15" spans="1:30" ht="43.5" customHeight="1" x14ac:dyDescent="0.2">
      <c r="A15" s="20" t="s">
        <v>545</v>
      </c>
      <c r="B15" s="21" t="s">
        <v>546</v>
      </c>
      <c r="C15" s="21" t="s">
        <v>289</v>
      </c>
      <c r="D15" s="21" t="s">
        <v>507</v>
      </c>
      <c r="E15" s="21">
        <v>4</v>
      </c>
      <c r="F15" s="20" t="s">
        <v>547</v>
      </c>
      <c r="G15" s="21" t="s">
        <v>513</v>
      </c>
      <c r="H15" s="21">
        <v>30</v>
      </c>
      <c r="I15" s="22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</row>
    <row r="16" spans="1:30" ht="43.5" customHeight="1" x14ac:dyDescent="0.2">
      <c r="A16" s="20" t="s">
        <v>548</v>
      </c>
      <c r="B16" s="21" t="s">
        <v>549</v>
      </c>
      <c r="C16" s="21" t="s">
        <v>290</v>
      </c>
      <c r="D16" s="21" t="s">
        <v>507</v>
      </c>
      <c r="E16" s="21">
        <v>4</v>
      </c>
      <c r="F16" s="20" t="s">
        <v>550</v>
      </c>
      <c r="G16" s="21" t="s">
        <v>513</v>
      </c>
      <c r="H16" s="21">
        <v>30</v>
      </c>
      <c r="I16" s="22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</row>
    <row r="17" spans="1:30" ht="43.5" customHeight="1" x14ac:dyDescent="0.2">
      <c r="A17" s="20" t="s">
        <v>551</v>
      </c>
      <c r="B17" s="21" t="s">
        <v>552</v>
      </c>
      <c r="C17" s="21" t="s">
        <v>291</v>
      </c>
      <c r="D17" s="21" t="s">
        <v>507</v>
      </c>
      <c r="E17" s="21">
        <v>2</v>
      </c>
      <c r="F17" s="20" t="s">
        <v>553</v>
      </c>
      <c r="G17" s="21" t="s">
        <v>513</v>
      </c>
      <c r="H17" s="21">
        <v>1</v>
      </c>
      <c r="I17" s="22" t="s">
        <v>554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</row>
    <row r="18" spans="1:30" ht="43.5" customHeight="1" x14ac:dyDescent="0.2">
      <c r="A18" s="20" t="s">
        <v>555</v>
      </c>
      <c r="B18" s="21" t="s">
        <v>556</v>
      </c>
      <c r="C18" s="21" t="s">
        <v>292</v>
      </c>
      <c r="D18" s="21" t="s">
        <v>507</v>
      </c>
      <c r="E18" s="21">
        <v>4</v>
      </c>
      <c r="F18" s="20" t="s">
        <v>557</v>
      </c>
      <c r="G18" s="21" t="s">
        <v>513</v>
      </c>
      <c r="H18" s="21">
        <v>1000</v>
      </c>
      <c r="I18" s="22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</row>
    <row r="19" spans="1:30" ht="43.5" customHeight="1" x14ac:dyDescent="0.2">
      <c r="A19" s="20" t="s">
        <v>558</v>
      </c>
      <c r="B19" s="21" t="s">
        <v>559</v>
      </c>
      <c r="C19" s="21" t="s">
        <v>293</v>
      </c>
      <c r="D19" s="21" t="s">
        <v>560</v>
      </c>
      <c r="E19" s="24">
        <v>45326</v>
      </c>
      <c r="F19" s="20" t="s">
        <v>561</v>
      </c>
      <c r="G19" s="21" t="s">
        <v>513</v>
      </c>
      <c r="H19" s="21" t="s">
        <v>562</v>
      </c>
      <c r="I19" s="2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</row>
    <row r="20" spans="1:30" ht="43.5" customHeight="1" x14ac:dyDescent="0.2">
      <c r="A20" s="20" t="s">
        <v>563</v>
      </c>
      <c r="B20" s="21" t="s">
        <v>564</v>
      </c>
      <c r="C20" s="21" t="s">
        <v>294</v>
      </c>
      <c r="D20" s="21" t="s">
        <v>560</v>
      </c>
      <c r="E20" s="21">
        <v>4.2</v>
      </c>
      <c r="F20" s="20" t="s">
        <v>565</v>
      </c>
      <c r="G20" s="21" t="s">
        <v>532</v>
      </c>
      <c r="H20" s="21">
        <v>28.8</v>
      </c>
      <c r="I20" s="22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</row>
    <row r="21" spans="1:30" ht="43.5" customHeight="1" x14ac:dyDescent="0.2">
      <c r="A21" s="20" t="s">
        <v>566</v>
      </c>
      <c r="B21" s="21" t="s">
        <v>567</v>
      </c>
      <c r="C21" s="21" t="s">
        <v>295</v>
      </c>
      <c r="D21" s="21" t="s">
        <v>560</v>
      </c>
      <c r="E21" s="24">
        <v>45326</v>
      </c>
      <c r="F21" s="20" t="s">
        <v>568</v>
      </c>
      <c r="G21" s="21" t="s">
        <v>532</v>
      </c>
      <c r="H21" s="21" t="s">
        <v>569</v>
      </c>
      <c r="I21" s="22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</row>
    <row r="22" spans="1:30" ht="43.5" customHeight="1" x14ac:dyDescent="0.2">
      <c r="A22" s="20" t="s">
        <v>570</v>
      </c>
      <c r="B22" s="21" t="s">
        <v>571</v>
      </c>
      <c r="C22" s="21" t="s">
        <v>296</v>
      </c>
      <c r="D22" s="21" t="s">
        <v>560</v>
      </c>
      <c r="E22" s="24">
        <v>45326</v>
      </c>
      <c r="F22" s="20" t="s">
        <v>572</v>
      </c>
      <c r="G22" s="21" t="s">
        <v>532</v>
      </c>
      <c r="H22" s="21" t="s">
        <v>573</v>
      </c>
      <c r="I22" s="22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</row>
    <row r="23" spans="1:30" ht="43.5" customHeight="1" x14ac:dyDescent="0.2">
      <c r="A23" s="20" t="s">
        <v>574</v>
      </c>
      <c r="B23" s="21" t="s">
        <v>575</v>
      </c>
      <c r="C23" s="21" t="s">
        <v>297</v>
      </c>
      <c r="D23" s="21" t="s">
        <v>507</v>
      </c>
      <c r="E23" s="21">
        <v>4</v>
      </c>
      <c r="F23" s="20" t="s">
        <v>576</v>
      </c>
      <c r="G23" s="21" t="s">
        <v>577</v>
      </c>
      <c r="H23" s="21">
        <v>-7</v>
      </c>
      <c r="I23" s="22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</row>
    <row r="24" spans="1:30" ht="43.5" customHeight="1" x14ac:dyDescent="0.2">
      <c r="A24" s="20" t="s">
        <v>578</v>
      </c>
      <c r="B24" s="21" t="s">
        <v>579</v>
      </c>
      <c r="C24" s="21" t="s">
        <v>298</v>
      </c>
      <c r="D24" s="21" t="s">
        <v>521</v>
      </c>
      <c r="E24" s="21">
        <v>1</v>
      </c>
      <c r="F24" s="20" t="s">
        <v>580</v>
      </c>
      <c r="G24" s="21" t="s">
        <v>581</v>
      </c>
      <c r="H24" s="21" t="s">
        <v>524</v>
      </c>
      <c r="I24" s="22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ht="43.5" customHeight="1" x14ac:dyDescent="0.2">
      <c r="A25" s="20" t="s">
        <v>582</v>
      </c>
      <c r="B25" s="21" t="s">
        <v>583</v>
      </c>
      <c r="C25" s="21" t="s">
        <v>299</v>
      </c>
      <c r="D25" s="21" t="s">
        <v>560</v>
      </c>
      <c r="E25" s="24">
        <v>45326</v>
      </c>
      <c r="F25" s="20" t="s">
        <v>584</v>
      </c>
      <c r="G25" s="21" t="s">
        <v>585</v>
      </c>
      <c r="H25" s="25">
        <v>-0.01</v>
      </c>
      <c r="I25" s="22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</row>
    <row r="26" spans="1:30" ht="43.5" customHeight="1" x14ac:dyDescent="0.2">
      <c r="A26" s="20" t="s">
        <v>586</v>
      </c>
      <c r="B26" s="21" t="s">
        <v>587</v>
      </c>
      <c r="C26" s="21" t="s">
        <v>300</v>
      </c>
      <c r="D26" s="21" t="s">
        <v>35</v>
      </c>
      <c r="E26" s="21">
        <v>10</v>
      </c>
      <c r="F26" s="20" t="s">
        <v>588</v>
      </c>
      <c r="G26" s="21" t="s">
        <v>589</v>
      </c>
      <c r="H26" s="21" t="s">
        <v>4</v>
      </c>
      <c r="I26" s="22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</row>
    <row r="27" spans="1:30" ht="43.5" customHeight="1" x14ac:dyDescent="0.2">
      <c r="A27" s="20" t="s">
        <v>590</v>
      </c>
      <c r="B27" s="21" t="s">
        <v>591</v>
      </c>
      <c r="C27" s="21" t="s">
        <v>301</v>
      </c>
      <c r="D27" s="21" t="s">
        <v>35</v>
      </c>
      <c r="E27" s="21">
        <v>10</v>
      </c>
      <c r="F27" s="20" t="s">
        <v>592</v>
      </c>
      <c r="G27" s="21" t="s">
        <v>593</v>
      </c>
      <c r="H27" s="21" t="s">
        <v>4</v>
      </c>
      <c r="I27" s="22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</row>
    <row r="28" spans="1:30" ht="43.5" customHeight="1" x14ac:dyDescent="0.2">
      <c r="A28" s="20" t="s">
        <v>594</v>
      </c>
      <c r="B28" s="21" t="s">
        <v>595</v>
      </c>
      <c r="C28" s="21" t="s">
        <v>302</v>
      </c>
      <c r="D28" s="21" t="s">
        <v>35</v>
      </c>
      <c r="E28" s="21">
        <v>10</v>
      </c>
      <c r="F28" s="20" t="s">
        <v>596</v>
      </c>
      <c r="G28" s="21" t="s">
        <v>597</v>
      </c>
      <c r="H28" s="21" t="s">
        <v>4</v>
      </c>
      <c r="I28" s="22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</row>
    <row r="29" spans="1:30" ht="43.5" customHeight="1" x14ac:dyDescent="0.2">
      <c r="A29" s="20" t="s">
        <v>598</v>
      </c>
      <c r="B29" s="21" t="s">
        <v>599</v>
      </c>
      <c r="C29" s="21" t="s">
        <v>303</v>
      </c>
      <c r="D29" s="21" t="s">
        <v>507</v>
      </c>
      <c r="E29" s="21">
        <v>3</v>
      </c>
      <c r="F29" s="20" t="s">
        <v>600</v>
      </c>
      <c r="G29" s="21" t="s">
        <v>513</v>
      </c>
      <c r="H29" s="21">
        <v>21</v>
      </c>
      <c r="I29" s="22" t="s">
        <v>601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</row>
    <row r="30" spans="1:30" ht="43.5" customHeight="1" x14ac:dyDescent="0.2">
      <c r="A30" s="20" t="s">
        <v>602</v>
      </c>
      <c r="B30" s="21" t="s">
        <v>603</v>
      </c>
      <c r="C30" s="21" t="s">
        <v>305</v>
      </c>
      <c r="D30" s="21" t="s">
        <v>560</v>
      </c>
      <c r="E30" s="24">
        <v>45326</v>
      </c>
      <c r="F30" s="20" t="s">
        <v>604</v>
      </c>
      <c r="G30" s="21" t="s">
        <v>513</v>
      </c>
      <c r="H30" s="21" t="s">
        <v>605</v>
      </c>
      <c r="I30" s="22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</row>
    <row r="31" spans="1:30" ht="43.5" customHeight="1" x14ac:dyDescent="0.2">
      <c r="A31" s="20" t="s">
        <v>606</v>
      </c>
      <c r="B31" s="21" t="s">
        <v>607</v>
      </c>
      <c r="C31" s="21" t="s">
        <v>304</v>
      </c>
      <c r="D31" s="21" t="s">
        <v>507</v>
      </c>
      <c r="E31" s="21">
        <v>3</v>
      </c>
      <c r="F31" s="20" t="s">
        <v>608</v>
      </c>
      <c r="G31" s="21" t="s">
        <v>513</v>
      </c>
      <c r="H31" s="21">
        <v>12</v>
      </c>
      <c r="I31" s="22" t="s">
        <v>601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</row>
    <row r="32" spans="1:30" ht="43.5" customHeight="1" x14ac:dyDescent="0.2">
      <c r="A32" s="20" t="s">
        <v>609</v>
      </c>
      <c r="B32" s="21" t="s">
        <v>610</v>
      </c>
      <c r="C32" s="21" t="s">
        <v>175</v>
      </c>
      <c r="D32" s="21" t="s">
        <v>560</v>
      </c>
      <c r="E32" s="24">
        <v>45326</v>
      </c>
      <c r="F32" s="20" t="s">
        <v>611</v>
      </c>
      <c r="G32" s="21" t="s">
        <v>513</v>
      </c>
      <c r="H32" s="21" t="s">
        <v>612</v>
      </c>
      <c r="I32" s="22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</row>
    <row r="33" spans="1:30" ht="43.5" customHeight="1" x14ac:dyDescent="0.2">
      <c r="A33" s="20" t="s">
        <v>613</v>
      </c>
      <c r="B33" s="21" t="s">
        <v>614</v>
      </c>
      <c r="C33" s="21" t="s">
        <v>306</v>
      </c>
      <c r="D33" s="21" t="s">
        <v>521</v>
      </c>
      <c r="E33" s="21">
        <v>1</v>
      </c>
      <c r="F33" s="20" t="s">
        <v>615</v>
      </c>
      <c r="G33" s="21" t="s">
        <v>527</v>
      </c>
      <c r="H33" s="21" t="s">
        <v>616</v>
      </c>
      <c r="I33" s="22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</row>
    <row r="34" spans="1:30" ht="43.5" customHeight="1" x14ac:dyDescent="0.2">
      <c r="A34" s="20" t="s">
        <v>617</v>
      </c>
      <c r="B34" s="21" t="s">
        <v>618</v>
      </c>
      <c r="C34" s="21" t="s">
        <v>307</v>
      </c>
      <c r="D34" s="21" t="s">
        <v>521</v>
      </c>
      <c r="E34" s="21">
        <v>1</v>
      </c>
      <c r="F34" s="20" t="s">
        <v>615</v>
      </c>
      <c r="G34" s="21" t="s">
        <v>523</v>
      </c>
      <c r="H34" s="21" t="s">
        <v>524</v>
      </c>
      <c r="I34" s="22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</row>
    <row r="35" spans="1:30" ht="43.5" customHeight="1" x14ac:dyDescent="0.2">
      <c r="A35" s="20" t="s">
        <v>619</v>
      </c>
      <c r="B35" s="21" t="s">
        <v>33</v>
      </c>
      <c r="C35" s="21" t="s">
        <v>308</v>
      </c>
      <c r="D35" s="21" t="s">
        <v>521</v>
      </c>
      <c r="E35" s="21">
        <v>1</v>
      </c>
      <c r="F35" s="20" t="s">
        <v>620</v>
      </c>
      <c r="G35" s="21" t="s">
        <v>527</v>
      </c>
      <c r="H35" s="21" t="s">
        <v>616</v>
      </c>
      <c r="I35" s="22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</row>
    <row r="36" spans="1:30" ht="43.5" customHeight="1" x14ac:dyDescent="0.2">
      <c r="A36" s="20" t="s">
        <v>621</v>
      </c>
      <c r="B36" s="21" t="s">
        <v>622</v>
      </c>
      <c r="C36" s="21" t="s">
        <v>309</v>
      </c>
      <c r="D36" s="21" t="s">
        <v>521</v>
      </c>
      <c r="E36" s="21">
        <v>1</v>
      </c>
      <c r="F36" s="20" t="s">
        <v>620</v>
      </c>
      <c r="G36" s="21" t="s">
        <v>523</v>
      </c>
      <c r="H36" s="21" t="s">
        <v>524</v>
      </c>
      <c r="I36" s="22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</row>
    <row r="37" spans="1:30" ht="43.5" customHeight="1" x14ac:dyDescent="0.2">
      <c r="A37" s="20" t="s">
        <v>623</v>
      </c>
      <c r="B37" s="21" t="s">
        <v>624</v>
      </c>
      <c r="C37" s="21" t="s">
        <v>310</v>
      </c>
      <c r="D37" s="21" t="s">
        <v>521</v>
      </c>
      <c r="E37" s="21">
        <v>1</v>
      </c>
      <c r="F37" s="20" t="s">
        <v>625</v>
      </c>
      <c r="G37" s="21" t="s">
        <v>527</v>
      </c>
      <c r="H37" s="21" t="s">
        <v>616</v>
      </c>
      <c r="I37" s="22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</row>
    <row r="38" spans="1:30" ht="43.5" customHeight="1" x14ac:dyDescent="0.2">
      <c r="A38" s="20" t="s">
        <v>626</v>
      </c>
      <c r="B38" s="21" t="s">
        <v>627</v>
      </c>
      <c r="C38" s="21" t="s">
        <v>311</v>
      </c>
      <c r="D38" s="21" t="s">
        <v>521</v>
      </c>
      <c r="E38" s="21">
        <v>1</v>
      </c>
      <c r="F38" s="20" t="s">
        <v>625</v>
      </c>
      <c r="G38" s="21" t="s">
        <v>628</v>
      </c>
      <c r="H38" s="21" t="s">
        <v>524</v>
      </c>
      <c r="I38" s="22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</row>
    <row r="39" spans="1:30" ht="43.5" customHeight="1" x14ac:dyDescent="0.2">
      <c r="A39" s="20" t="s">
        <v>629</v>
      </c>
      <c r="B39" s="21" t="s">
        <v>34</v>
      </c>
      <c r="C39" s="21" t="s">
        <v>308</v>
      </c>
      <c r="D39" s="21" t="s">
        <v>521</v>
      </c>
      <c r="E39" s="21">
        <v>1</v>
      </c>
      <c r="F39" s="20" t="s">
        <v>630</v>
      </c>
      <c r="G39" s="21" t="s">
        <v>581</v>
      </c>
      <c r="H39" s="21" t="s">
        <v>616</v>
      </c>
      <c r="I39" s="22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</row>
    <row r="40" spans="1:30" ht="43.5" customHeight="1" x14ac:dyDescent="0.2">
      <c r="A40" s="20" t="s">
        <v>631</v>
      </c>
      <c r="B40" s="21" t="s">
        <v>632</v>
      </c>
      <c r="C40" s="21" t="s">
        <v>309</v>
      </c>
      <c r="D40" s="21" t="s">
        <v>521</v>
      </c>
      <c r="E40" s="21">
        <v>1</v>
      </c>
      <c r="F40" s="20" t="s">
        <v>630</v>
      </c>
      <c r="G40" s="21" t="s">
        <v>581</v>
      </c>
      <c r="H40" s="21" t="s">
        <v>616</v>
      </c>
      <c r="I40" s="22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</row>
    <row r="41" spans="1:30" ht="43.5" customHeight="1" x14ac:dyDescent="0.2">
      <c r="A41" s="20" t="s">
        <v>633</v>
      </c>
      <c r="B41" s="21" t="s">
        <v>634</v>
      </c>
      <c r="C41" s="21" t="s">
        <v>312</v>
      </c>
      <c r="D41" s="21" t="s">
        <v>521</v>
      </c>
      <c r="E41" s="21">
        <v>1</v>
      </c>
      <c r="F41" s="20" t="s">
        <v>635</v>
      </c>
      <c r="G41" s="21" t="s">
        <v>581</v>
      </c>
      <c r="H41" s="21" t="s">
        <v>616</v>
      </c>
      <c r="I41" s="22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</row>
    <row r="42" spans="1:30" ht="43.5" customHeight="1" x14ac:dyDescent="0.2">
      <c r="A42" s="20" t="s">
        <v>636</v>
      </c>
      <c r="B42" s="21" t="s">
        <v>637</v>
      </c>
      <c r="C42" s="21" t="s">
        <v>313</v>
      </c>
      <c r="D42" s="21" t="s">
        <v>521</v>
      </c>
      <c r="E42" s="21">
        <v>1</v>
      </c>
      <c r="F42" s="20" t="s">
        <v>635</v>
      </c>
      <c r="G42" s="21" t="s">
        <v>581</v>
      </c>
      <c r="H42" s="21" t="s">
        <v>616</v>
      </c>
      <c r="I42" s="22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</row>
    <row r="43" spans="1:30" ht="43.5" customHeight="1" x14ac:dyDescent="0.2">
      <c r="A43" s="20" t="s">
        <v>638</v>
      </c>
      <c r="B43" s="21" t="s">
        <v>639</v>
      </c>
      <c r="C43" s="21" t="s">
        <v>314</v>
      </c>
      <c r="D43" s="21" t="s">
        <v>521</v>
      </c>
      <c r="E43" s="21">
        <v>1</v>
      </c>
      <c r="F43" s="20" t="s">
        <v>640</v>
      </c>
      <c r="G43" s="21" t="s">
        <v>641</v>
      </c>
      <c r="H43" s="21" t="s">
        <v>4</v>
      </c>
      <c r="I43" s="22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</row>
    <row r="44" spans="1:30" ht="43.5" customHeight="1" x14ac:dyDescent="0.2">
      <c r="A44" s="20" t="s">
        <v>642</v>
      </c>
      <c r="B44" s="21" t="s">
        <v>643</v>
      </c>
      <c r="C44" s="21" t="s">
        <v>315</v>
      </c>
      <c r="D44" s="21" t="s">
        <v>521</v>
      </c>
      <c r="E44" s="21">
        <v>1</v>
      </c>
      <c r="F44" s="20" t="s">
        <v>644</v>
      </c>
      <c r="G44" s="21" t="s">
        <v>641</v>
      </c>
      <c r="H44" s="21" t="s">
        <v>4</v>
      </c>
      <c r="I44" s="22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</row>
    <row r="45" spans="1:30" ht="43.5" customHeight="1" x14ac:dyDescent="0.2">
      <c r="A45" s="20" t="s">
        <v>645</v>
      </c>
      <c r="B45" s="21" t="s">
        <v>646</v>
      </c>
      <c r="C45" s="21" t="s">
        <v>316</v>
      </c>
      <c r="D45" s="21" t="s">
        <v>521</v>
      </c>
      <c r="E45" s="21">
        <v>1</v>
      </c>
      <c r="F45" s="20" t="s">
        <v>647</v>
      </c>
      <c r="G45" s="21" t="s">
        <v>641</v>
      </c>
      <c r="H45" s="21" t="s">
        <v>4</v>
      </c>
      <c r="I45" s="22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</row>
    <row r="46" spans="1:30" ht="43.5" customHeight="1" x14ac:dyDescent="0.2">
      <c r="A46" s="20" t="s">
        <v>648</v>
      </c>
      <c r="B46" s="21" t="s">
        <v>649</v>
      </c>
      <c r="C46" s="21" t="s">
        <v>317</v>
      </c>
      <c r="D46" s="21" t="s">
        <v>521</v>
      </c>
      <c r="E46" s="21">
        <v>1</v>
      </c>
      <c r="F46" s="20" t="s">
        <v>650</v>
      </c>
      <c r="G46" s="21" t="s">
        <v>641</v>
      </c>
      <c r="H46" s="21" t="s">
        <v>4</v>
      </c>
      <c r="I46" s="22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</row>
    <row r="47" spans="1:30" ht="43.5" customHeight="1" x14ac:dyDescent="0.2">
      <c r="A47" s="20" t="s">
        <v>651</v>
      </c>
      <c r="B47" s="21" t="s">
        <v>652</v>
      </c>
      <c r="C47" s="21" t="s">
        <v>318</v>
      </c>
      <c r="D47" s="21" t="s">
        <v>521</v>
      </c>
      <c r="E47" s="21">
        <v>1</v>
      </c>
      <c r="F47" s="20" t="s">
        <v>653</v>
      </c>
      <c r="G47" s="21" t="s">
        <v>641</v>
      </c>
      <c r="H47" s="21" t="s">
        <v>4</v>
      </c>
      <c r="I47" s="22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</row>
    <row r="48" spans="1:30" ht="43.5" customHeight="1" x14ac:dyDescent="0.2">
      <c r="A48" s="20" t="s">
        <v>654</v>
      </c>
      <c r="B48" s="21" t="s">
        <v>655</v>
      </c>
      <c r="C48" s="21" t="s">
        <v>319</v>
      </c>
      <c r="D48" s="21" t="s">
        <v>521</v>
      </c>
      <c r="E48" s="21">
        <v>1</v>
      </c>
      <c r="F48" s="20" t="s">
        <v>656</v>
      </c>
      <c r="G48" s="21" t="s">
        <v>641</v>
      </c>
      <c r="H48" s="21" t="s">
        <v>4</v>
      </c>
      <c r="I48" s="22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</row>
    <row r="49" spans="1:30" ht="43.5" customHeight="1" x14ac:dyDescent="0.2">
      <c r="A49" s="20" t="s">
        <v>657</v>
      </c>
      <c r="B49" s="21" t="s">
        <v>658</v>
      </c>
      <c r="C49" s="21" t="s">
        <v>320</v>
      </c>
      <c r="D49" s="21" t="s">
        <v>521</v>
      </c>
      <c r="E49" s="21">
        <v>1</v>
      </c>
      <c r="F49" s="20" t="s">
        <v>659</v>
      </c>
      <c r="G49" s="21" t="s">
        <v>641</v>
      </c>
      <c r="H49" s="21" t="s">
        <v>4</v>
      </c>
      <c r="I49" s="22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</row>
    <row r="50" spans="1:30" ht="43.5" customHeight="1" x14ac:dyDescent="0.2">
      <c r="A50" s="20" t="s">
        <v>660</v>
      </c>
      <c r="B50" s="21" t="s">
        <v>661</v>
      </c>
      <c r="C50" s="21" t="s">
        <v>321</v>
      </c>
      <c r="D50" s="21" t="s">
        <v>521</v>
      </c>
      <c r="E50" s="21">
        <v>1</v>
      </c>
      <c r="F50" s="20" t="s">
        <v>662</v>
      </c>
      <c r="G50" s="21" t="s">
        <v>641</v>
      </c>
      <c r="H50" s="21" t="s">
        <v>4</v>
      </c>
      <c r="I50" s="22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</row>
    <row r="51" spans="1:30" ht="43.5" customHeight="1" x14ac:dyDescent="0.2">
      <c r="A51" s="20" t="s">
        <v>663</v>
      </c>
      <c r="B51" s="21" t="s">
        <v>664</v>
      </c>
      <c r="C51" s="21" t="s">
        <v>322</v>
      </c>
      <c r="D51" s="21" t="s">
        <v>521</v>
      </c>
      <c r="E51" s="21">
        <v>1</v>
      </c>
      <c r="F51" s="20" t="s">
        <v>665</v>
      </c>
      <c r="G51" s="21" t="s">
        <v>641</v>
      </c>
      <c r="H51" s="21" t="s">
        <v>4</v>
      </c>
      <c r="I51" s="22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</row>
    <row r="52" spans="1:30" ht="43.5" customHeight="1" x14ac:dyDescent="0.2">
      <c r="A52" s="20" t="s">
        <v>666</v>
      </c>
      <c r="B52" s="21" t="s">
        <v>667</v>
      </c>
      <c r="C52" s="21" t="s">
        <v>323</v>
      </c>
      <c r="D52" s="21" t="s">
        <v>521</v>
      </c>
      <c r="E52" s="21">
        <v>1</v>
      </c>
      <c r="F52" s="20" t="s">
        <v>668</v>
      </c>
      <c r="G52" s="21" t="s">
        <v>641</v>
      </c>
      <c r="H52" s="21" t="s">
        <v>4</v>
      </c>
      <c r="I52" s="22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</row>
    <row r="53" spans="1:30" ht="43.5" customHeight="1" x14ac:dyDescent="0.2">
      <c r="A53" s="20" t="s">
        <v>669</v>
      </c>
      <c r="B53" s="21" t="s">
        <v>670</v>
      </c>
      <c r="C53" s="21" t="s">
        <v>671</v>
      </c>
      <c r="D53" s="21" t="s">
        <v>521</v>
      </c>
      <c r="E53" s="21">
        <v>1</v>
      </c>
      <c r="F53" s="20" t="s">
        <v>672</v>
      </c>
      <c r="G53" s="21" t="s">
        <v>641</v>
      </c>
      <c r="H53" s="21" t="s">
        <v>4</v>
      </c>
      <c r="I53" s="22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</row>
    <row r="54" spans="1:30" ht="43.5" customHeight="1" x14ac:dyDescent="0.2">
      <c r="A54" s="20" t="s">
        <v>673</v>
      </c>
      <c r="B54" s="21" t="s">
        <v>674</v>
      </c>
      <c r="C54" s="21" t="s">
        <v>675</v>
      </c>
      <c r="D54" s="21" t="s">
        <v>521</v>
      </c>
      <c r="E54" s="21">
        <v>1</v>
      </c>
      <c r="F54" s="20" t="s">
        <v>676</v>
      </c>
      <c r="G54" s="21" t="s">
        <v>641</v>
      </c>
      <c r="H54" s="21" t="s">
        <v>4</v>
      </c>
      <c r="I54" s="22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</row>
    <row r="55" spans="1:30" ht="43.5" customHeight="1" x14ac:dyDescent="0.2">
      <c r="A55" s="20" t="s">
        <v>677</v>
      </c>
      <c r="B55" s="21" t="s">
        <v>678</v>
      </c>
      <c r="C55" s="21" t="s">
        <v>679</v>
      </c>
      <c r="D55" s="21" t="s">
        <v>521</v>
      </c>
      <c r="E55" s="21">
        <v>1</v>
      </c>
      <c r="F55" s="20" t="s">
        <v>680</v>
      </c>
      <c r="G55" s="21" t="s">
        <v>641</v>
      </c>
      <c r="H55" s="21" t="s">
        <v>4</v>
      </c>
      <c r="I55" s="22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</row>
    <row r="56" spans="1:30" ht="43.5" customHeight="1" x14ac:dyDescent="0.2">
      <c r="A56" s="20" t="s">
        <v>681</v>
      </c>
      <c r="B56" s="21" t="s">
        <v>682</v>
      </c>
      <c r="C56" s="21" t="s">
        <v>683</v>
      </c>
      <c r="D56" s="21" t="s">
        <v>521</v>
      </c>
      <c r="E56" s="21">
        <v>1</v>
      </c>
      <c r="F56" s="20" t="s">
        <v>684</v>
      </c>
      <c r="G56" s="21" t="s">
        <v>641</v>
      </c>
      <c r="H56" s="21" t="s">
        <v>4</v>
      </c>
      <c r="I56" s="22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</row>
    <row r="57" spans="1:30" ht="43.5" customHeight="1" x14ac:dyDescent="0.2">
      <c r="A57" s="20" t="s">
        <v>685</v>
      </c>
      <c r="B57" s="21" t="s">
        <v>686</v>
      </c>
      <c r="C57" s="21" t="s">
        <v>687</v>
      </c>
      <c r="D57" s="21" t="s">
        <v>521</v>
      </c>
      <c r="E57" s="21">
        <v>1</v>
      </c>
      <c r="F57" s="20" t="s">
        <v>688</v>
      </c>
      <c r="G57" s="21" t="s">
        <v>641</v>
      </c>
      <c r="H57" s="21" t="s">
        <v>4</v>
      </c>
      <c r="I57" s="22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</row>
    <row r="58" spans="1:30" ht="43.5" customHeight="1" x14ac:dyDescent="0.2">
      <c r="A58" s="20" t="s">
        <v>689</v>
      </c>
      <c r="B58" s="21" t="s">
        <v>690</v>
      </c>
      <c r="C58" s="21" t="s">
        <v>329</v>
      </c>
      <c r="D58" s="21" t="s">
        <v>521</v>
      </c>
      <c r="E58" s="21">
        <v>1</v>
      </c>
      <c r="F58" s="20" t="s">
        <v>691</v>
      </c>
      <c r="G58" s="21" t="s">
        <v>641</v>
      </c>
      <c r="H58" s="21" t="s">
        <v>4</v>
      </c>
      <c r="I58" s="22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</row>
    <row r="59" spans="1:30" ht="43.5" customHeight="1" x14ac:dyDescent="0.2">
      <c r="A59" s="20" t="s">
        <v>692</v>
      </c>
      <c r="B59" s="21" t="s">
        <v>693</v>
      </c>
      <c r="C59" s="21" t="s">
        <v>330</v>
      </c>
      <c r="D59" s="21" t="s">
        <v>521</v>
      </c>
      <c r="E59" s="21">
        <v>1</v>
      </c>
      <c r="F59" s="20" t="s">
        <v>694</v>
      </c>
      <c r="G59" s="21" t="s">
        <v>641</v>
      </c>
      <c r="H59" s="21" t="s">
        <v>4</v>
      </c>
      <c r="I59" s="22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</row>
    <row r="60" spans="1:30" ht="43.5" customHeight="1" x14ac:dyDescent="0.2">
      <c r="A60" s="20" t="s">
        <v>695</v>
      </c>
      <c r="B60" s="21" t="s">
        <v>696</v>
      </c>
      <c r="C60" s="21" t="s">
        <v>331</v>
      </c>
      <c r="D60" s="21" t="s">
        <v>521</v>
      </c>
      <c r="E60" s="21">
        <v>1</v>
      </c>
      <c r="F60" s="20" t="s">
        <v>697</v>
      </c>
      <c r="G60" s="21" t="s">
        <v>641</v>
      </c>
      <c r="H60" s="21" t="s">
        <v>4</v>
      </c>
      <c r="I60" s="22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</row>
    <row r="61" spans="1:30" ht="43.5" customHeight="1" x14ac:dyDescent="0.2">
      <c r="A61" s="20" t="s">
        <v>698</v>
      </c>
      <c r="B61" s="21" t="s">
        <v>699</v>
      </c>
      <c r="C61" s="21" t="s">
        <v>332</v>
      </c>
      <c r="D61" s="21" t="s">
        <v>521</v>
      </c>
      <c r="E61" s="21">
        <v>1</v>
      </c>
      <c r="F61" s="20" t="s">
        <v>700</v>
      </c>
      <c r="G61" s="21" t="s">
        <v>641</v>
      </c>
      <c r="H61" s="21" t="s">
        <v>4</v>
      </c>
      <c r="I61" s="22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</row>
    <row r="62" spans="1:30" ht="43.5" customHeight="1" x14ac:dyDescent="0.2">
      <c r="A62" s="20" t="s">
        <v>701</v>
      </c>
      <c r="B62" s="21" t="s">
        <v>702</v>
      </c>
      <c r="C62" s="21" t="s">
        <v>333</v>
      </c>
      <c r="D62" s="21" t="s">
        <v>521</v>
      </c>
      <c r="E62" s="21">
        <v>1</v>
      </c>
      <c r="F62" s="20" t="s">
        <v>703</v>
      </c>
      <c r="G62" s="21" t="s">
        <v>641</v>
      </c>
      <c r="H62" s="21" t="s">
        <v>4</v>
      </c>
      <c r="I62" s="22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</row>
    <row r="63" spans="1:30" ht="43.5" customHeight="1" x14ac:dyDescent="0.2">
      <c r="A63" s="20" t="s">
        <v>704</v>
      </c>
      <c r="B63" s="21" t="s">
        <v>705</v>
      </c>
      <c r="C63" s="21" t="s">
        <v>334</v>
      </c>
      <c r="D63" s="21" t="s">
        <v>521</v>
      </c>
      <c r="E63" s="21">
        <v>1</v>
      </c>
      <c r="F63" s="20" t="s">
        <v>706</v>
      </c>
      <c r="G63" s="21" t="s">
        <v>641</v>
      </c>
      <c r="H63" s="21" t="s">
        <v>4</v>
      </c>
      <c r="I63" s="22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</row>
    <row r="64" spans="1:30" ht="43.5" customHeight="1" x14ac:dyDescent="0.2">
      <c r="A64" s="20" t="s">
        <v>707</v>
      </c>
      <c r="B64" s="21" t="s">
        <v>708</v>
      </c>
      <c r="C64" s="21" t="s">
        <v>335</v>
      </c>
      <c r="D64" s="21" t="s">
        <v>521</v>
      </c>
      <c r="E64" s="21">
        <v>1</v>
      </c>
      <c r="F64" s="20" t="s">
        <v>709</v>
      </c>
      <c r="G64" s="21" t="s">
        <v>641</v>
      </c>
      <c r="H64" s="21" t="s">
        <v>4</v>
      </c>
      <c r="I64" s="22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</row>
    <row r="65" spans="1:30" ht="43.5" customHeight="1" x14ac:dyDescent="0.2">
      <c r="A65" s="20" t="s">
        <v>710</v>
      </c>
      <c r="B65" s="21" t="s">
        <v>711</v>
      </c>
      <c r="C65" s="21" t="s">
        <v>336</v>
      </c>
      <c r="D65" s="21" t="s">
        <v>521</v>
      </c>
      <c r="E65" s="21">
        <v>1</v>
      </c>
      <c r="F65" s="20" t="s">
        <v>712</v>
      </c>
      <c r="G65" s="21" t="s">
        <v>641</v>
      </c>
      <c r="H65" s="21" t="s">
        <v>4</v>
      </c>
      <c r="I65" s="22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</row>
    <row r="66" spans="1:30" ht="43.5" customHeight="1" x14ac:dyDescent="0.2">
      <c r="A66" s="20" t="s">
        <v>713</v>
      </c>
      <c r="B66" s="21" t="s">
        <v>714</v>
      </c>
      <c r="C66" s="21" t="s">
        <v>337</v>
      </c>
      <c r="D66" s="21" t="s">
        <v>521</v>
      </c>
      <c r="E66" s="21">
        <v>1</v>
      </c>
      <c r="F66" s="20" t="s">
        <v>715</v>
      </c>
      <c r="G66" s="21" t="s">
        <v>641</v>
      </c>
      <c r="H66" s="21" t="s">
        <v>4</v>
      </c>
      <c r="I66" s="22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</row>
    <row r="67" spans="1:30" ht="43.5" customHeight="1" x14ac:dyDescent="0.2">
      <c r="A67" s="20" t="s">
        <v>716</v>
      </c>
      <c r="B67" s="21" t="s">
        <v>717</v>
      </c>
      <c r="C67" s="21" t="s">
        <v>338</v>
      </c>
      <c r="D67" s="21" t="s">
        <v>521</v>
      </c>
      <c r="E67" s="21">
        <v>1</v>
      </c>
      <c r="F67" s="20" t="s">
        <v>718</v>
      </c>
      <c r="G67" s="21" t="s">
        <v>641</v>
      </c>
      <c r="H67" s="21" t="s">
        <v>4</v>
      </c>
      <c r="I67" s="22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</row>
    <row r="68" spans="1:30" ht="43.5" customHeight="1" x14ac:dyDescent="0.2">
      <c r="A68" s="20" t="s">
        <v>719</v>
      </c>
      <c r="B68" s="21" t="s">
        <v>720</v>
      </c>
      <c r="C68" s="21" t="s">
        <v>339</v>
      </c>
      <c r="D68" s="21" t="s">
        <v>521</v>
      </c>
      <c r="E68" s="21">
        <v>1</v>
      </c>
      <c r="F68" s="20" t="s">
        <v>640</v>
      </c>
      <c r="G68" s="21" t="s">
        <v>641</v>
      </c>
      <c r="H68" s="21" t="s">
        <v>4</v>
      </c>
      <c r="I68" s="22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</row>
    <row r="69" spans="1:30" ht="43.5" customHeight="1" x14ac:dyDescent="0.2">
      <c r="A69" s="20" t="s">
        <v>721</v>
      </c>
      <c r="B69" s="21" t="s">
        <v>722</v>
      </c>
      <c r="C69" s="21" t="s">
        <v>340</v>
      </c>
      <c r="D69" s="21" t="s">
        <v>521</v>
      </c>
      <c r="E69" s="21">
        <v>1</v>
      </c>
      <c r="F69" s="20" t="s">
        <v>644</v>
      </c>
      <c r="G69" s="21" t="s">
        <v>641</v>
      </c>
      <c r="H69" s="21" t="s">
        <v>4</v>
      </c>
      <c r="I69" s="22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</row>
    <row r="70" spans="1:30" ht="43.5" customHeight="1" x14ac:dyDescent="0.2">
      <c r="A70" s="20" t="s">
        <v>723</v>
      </c>
      <c r="B70" s="21" t="s">
        <v>724</v>
      </c>
      <c r="C70" s="21" t="s">
        <v>341</v>
      </c>
      <c r="D70" s="21" t="s">
        <v>521</v>
      </c>
      <c r="E70" s="21">
        <v>1</v>
      </c>
      <c r="F70" s="20" t="s">
        <v>647</v>
      </c>
      <c r="G70" s="21" t="s">
        <v>641</v>
      </c>
      <c r="H70" s="21" t="s">
        <v>4</v>
      </c>
      <c r="I70" s="22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</row>
    <row r="71" spans="1:30" ht="43.5" customHeight="1" x14ac:dyDescent="0.2">
      <c r="A71" s="20" t="s">
        <v>725</v>
      </c>
      <c r="B71" s="21" t="s">
        <v>726</v>
      </c>
      <c r="C71" s="21" t="s">
        <v>342</v>
      </c>
      <c r="D71" s="21" t="s">
        <v>521</v>
      </c>
      <c r="E71" s="21">
        <v>1</v>
      </c>
      <c r="F71" s="20" t="s">
        <v>650</v>
      </c>
      <c r="G71" s="21" t="s">
        <v>641</v>
      </c>
      <c r="H71" s="21" t="s">
        <v>4</v>
      </c>
      <c r="I71" s="22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</row>
    <row r="72" spans="1:30" ht="43.5" customHeight="1" x14ac:dyDescent="0.2">
      <c r="A72" s="20" t="s">
        <v>727</v>
      </c>
      <c r="B72" s="21" t="s">
        <v>728</v>
      </c>
      <c r="C72" s="21" t="s">
        <v>343</v>
      </c>
      <c r="D72" s="21" t="s">
        <v>521</v>
      </c>
      <c r="E72" s="21">
        <v>1</v>
      </c>
      <c r="F72" s="20" t="s">
        <v>653</v>
      </c>
      <c r="G72" s="21" t="s">
        <v>641</v>
      </c>
      <c r="H72" s="21" t="s">
        <v>4</v>
      </c>
      <c r="I72" s="22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</row>
    <row r="73" spans="1:30" ht="43.5" customHeight="1" x14ac:dyDescent="0.2">
      <c r="A73" s="20" t="s">
        <v>729</v>
      </c>
      <c r="B73" s="21" t="s">
        <v>730</v>
      </c>
      <c r="C73" s="21" t="s">
        <v>344</v>
      </c>
      <c r="D73" s="21" t="s">
        <v>521</v>
      </c>
      <c r="E73" s="21">
        <v>1</v>
      </c>
      <c r="F73" s="20" t="s">
        <v>656</v>
      </c>
      <c r="G73" s="21" t="s">
        <v>641</v>
      </c>
      <c r="H73" s="21" t="s">
        <v>4</v>
      </c>
      <c r="I73" s="22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</row>
    <row r="74" spans="1:30" ht="43.5" customHeight="1" x14ac:dyDescent="0.2">
      <c r="A74" s="20" t="s">
        <v>731</v>
      </c>
      <c r="B74" s="21" t="s">
        <v>732</v>
      </c>
      <c r="C74" s="21" t="s">
        <v>345</v>
      </c>
      <c r="D74" s="21" t="s">
        <v>521</v>
      </c>
      <c r="E74" s="21">
        <v>1</v>
      </c>
      <c r="F74" s="20" t="s">
        <v>659</v>
      </c>
      <c r="G74" s="21" t="s">
        <v>641</v>
      </c>
      <c r="H74" s="21" t="s">
        <v>4</v>
      </c>
      <c r="I74" s="22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</row>
    <row r="75" spans="1:30" ht="43.5" customHeight="1" x14ac:dyDescent="0.2">
      <c r="A75" s="20" t="s">
        <v>733</v>
      </c>
      <c r="B75" s="21" t="s">
        <v>734</v>
      </c>
      <c r="C75" s="21" t="s">
        <v>346</v>
      </c>
      <c r="D75" s="21" t="s">
        <v>521</v>
      </c>
      <c r="E75" s="21">
        <v>1</v>
      </c>
      <c r="F75" s="20" t="s">
        <v>662</v>
      </c>
      <c r="G75" s="21" t="s">
        <v>641</v>
      </c>
      <c r="H75" s="21" t="s">
        <v>4</v>
      </c>
      <c r="I75" s="22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</row>
    <row r="76" spans="1:30" ht="43.5" customHeight="1" x14ac:dyDescent="0.2">
      <c r="A76" s="20" t="s">
        <v>735</v>
      </c>
      <c r="B76" s="21" t="s">
        <v>736</v>
      </c>
      <c r="C76" s="21" t="s">
        <v>347</v>
      </c>
      <c r="D76" s="21" t="s">
        <v>521</v>
      </c>
      <c r="E76" s="21">
        <v>1</v>
      </c>
      <c r="F76" s="20" t="s">
        <v>665</v>
      </c>
      <c r="G76" s="21" t="s">
        <v>641</v>
      </c>
      <c r="H76" s="21" t="s">
        <v>4</v>
      </c>
      <c r="I76" s="22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</row>
    <row r="77" spans="1:30" ht="43.5" customHeight="1" x14ac:dyDescent="0.2">
      <c r="A77" s="20" t="s">
        <v>737</v>
      </c>
      <c r="B77" s="21" t="s">
        <v>738</v>
      </c>
      <c r="C77" s="21" t="s">
        <v>348</v>
      </c>
      <c r="D77" s="21" t="s">
        <v>521</v>
      </c>
      <c r="E77" s="21">
        <v>1</v>
      </c>
      <c r="F77" s="20" t="s">
        <v>668</v>
      </c>
      <c r="G77" s="21" t="s">
        <v>641</v>
      </c>
      <c r="H77" s="21" t="s">
        <v>4</v>
      </c>
      <c r="I77" s="22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</row>
    <row r="78" spans="1:30" ht="43.5" customHeight="1" x14ac:dyDescent="0.2">
      <c r="A78" s="20" t="s">
        <v>739</v>
      </c>
      <c r="B78" s="21" t="s">
        <v>740</v>
      </c>
      <c r="C78" s="21" t="s">
        <v>741</v>
      </c>
      <c r="D78" s="21" t="s">
        <v>521</v>
      </c>
      <c r="E78" s="21">
        <v>1</v>
      </c>
      <c r="F78" s="20" t="s">
        <v>672</v>
      </c>
      <c r="G78" s="21" t="s">
        <v>641</v>
      </c>
      <c r="H78" s="21" t="s">
        <v>4</v>
      </c>
      <c r="I78" s="22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</row>
    <row r="79" spans="1:30" ht="43.5" customHeight="1" x14ac:dyDescent="0.2">
      <c r="A79" s="20" t="s">
        <v>742</v>
      </c>
      <c r="B79" s="21" t="s">
        <v>743</v>
      </c>
      <c r="C79" s="21" t="s">
        <v>744</v>
      </c>
      <c r="D79" s="21" t="s">
        <v>521</v>
      </c>
      <c r="E79" s="21">
        <v>1</v>
      </c>
      <c r="F79" s="20" t="s">
        <v>676</v>
      </c>
      <c r="G79" s="21" t="s">
        <v>641</v>
      </c>
      <c r="H79" s="21" t="s">
        <v>4</v>
      </c>
      <c r="I79" s="22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</row>
    <row r="80" spans="1:30" ht="43.5" customHeight="1" x14ac:dyDescent="0.2">
      <c r="A80" s="20" t="s">
        <v>745</v>
      </c>
      <c r="B80" s="21" t="s">
        <v>746</v>
      </c>
      <c r="C80" s="21" t="s">
        <v>747</v>
      </c>
      <c r="D80" s="21" t="s">
        <v>521</v>
      </c>
      <c r="E80" s="21">
        <v>1</v>
      </c>
      <c r="F80" s="20" t="s">
        <v>680</v>
      </c>
      <c r="G80" s="21" t="s">
        <v>641</v>
      </c>
      <c r="H80" s="21" t="s">
        <v>4</v>
      </c>
      <c r="I80" s="22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</row>
    <row r="81" spans="1:30" ht="43.5" customHeight="1" x14ac:dyDescent="0.2">
      <c r="A81" s="20" t="s">
        <v>748</v>
      </c>
      <c r="B81" s="21" t="s">
        <v>749</v>
      </c>
      <c r="C81" s="21" t="s">
        <v>750</v>
      </c>
      <c r="D81" s="21" t="s">
        <v>521</v>
      </c>
      <c r="E81" s="21">
        <v>1</v>
      </c>
      <c r="F81" s="20" t="s">
        <v>684</v>
      </c>
      <c r="G81" s="21" t="s">
        <v>641</v>
      </c>
      <c r="H81" s="21" t="s">
        <v>4</v>
      </c>
      <c r="I81" s="22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</row>
    <row r="82" spans="1:30" ht="43.5" customHeight="1" x14ac:dyDescent="0.2">
      <c r="A82" s="20" t="s">
        <v>751</v>
      </c>
      <c r="B82" s="21" t="s">
        <v>752</v>
      </c>
      <c r="C82" s="21" t="s">
        <v>753</v>
      </c>
      <c r="D82" s="21" t="s">
        <v>521</v>
      </c>
      <c r="E82" s="21">
        <v>1</v>
      </c>
      <c r="F82" s="20" t="s">
        <v>688</v>
      </c>
      <c r="G82" s="21" t="s">
        <v>641</v>
      </c>
      <c r="H82" s="21" t="s">
        <v>4</v>
      </c>
      <c r="I82" s="22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</row>
    <row r="83" spans="1:30" ht="43.5" customHeight="1" x14ac:dyDescent="0.2">
      <c r="A83" s="20" t="s">
        <v>754</v>
      </c>
      <c r="B83" s="21" t="s">
        <v>755</v>
      </c>
      <c r="C83" s="21" t="s">
        <v>354</v>
      </c>
      <c r="D83" s="21" t="s">
        <v>521</v>
      </c>
      <c r="E83" s="21">
        <v>1</v>
      </c>
      <c r="F83" s="20" t="s">
        <v>691</v>
      </c>
      <c r="G83" s="21" t="s">
        <v>641</v>
      </c>
      <c r="H83" s="21" t="s">
        <v>4</v>
      </c>
      <c r="I83" s="22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</row>
    <row r="84" spans="1:30" ht="43.5" customHeight="1" x14ac:dyDescent="0.2">
      <c r="A84" s="20" t="s">
        <v>756</v>
      </c>
      <c r="B84" s="21" t="s">
        <v>757</v>
      </c>
      <c r="C84" s="21" t="s">
        <v>355</v>
      </c>
      <c r="D84" s="21" t="s">
        <v>521</v>
      </c>
      <c r="E84" s="21">
        <v>1</v>
      </c>
      <c r="F84" s="20" t="s">
        <v>694</v>
      </c>
      <c r="G84" s="21" t="s">
        <v>641</v>
      </c>
      <c r="H84" s="21" t="s">
        <v>4</v>
      </c>
      <c r="I84" s="22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</row>
    <row r="85" spans="1:30" ht="43.5" customHeight="1" x14ac:dyDescent="0.2">
      <c r="A85" s="20" t="s">
        <v>758</v>
      </c>
      <c r="B85" s="21" t="s">
        <v>759</v>
      </c>
      <c r="C85" s="21" t="s">
        <v>356</v>
      </c>
      <c r="D85" s="21" t="s">
        <v>521</v>
      </c>
      <c r="E85" s="21">
        <v>1</v>
      </c>
      <c r="F85" s="20" t="s">
        <v>697</v>
      </c>
      <c r="G85" s="21" t="s">
        <v>641</v>
      </c>
      <c r="H85" s="21" t="s">
        <v>4</v>
      </c>
      <c r="I85" s="22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</row>
    <row r="86" spans="1:30" ht="43.5" customHeight="1" x14ac:dyDescent="0.2">
      <c r="A86" s="20" t="s">
        <v>760</v>
      </c>
      <c r="B86" s="21" t="s">
        <v>761</v>
      </c>
      <c r="C86" s="21" t="s">
        <v>357</v>
      </c>
      <c r="D86" s="21" t="s">
        <v>521</v>
      </c>
      <c r="E86" s="21">
        <v>1</v>
      </c>
      <c r="F86" s="20" t="s">
        <v>700</v>
      </c>
      <c r="G86" s="21" t="s">
        <v>641</v>
      </c>
      <c r="H86" s="21" t="s">
        <v>4</v>
      </c>
      <c r="I86" s="22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</row>
    <row r="87" spans="1:30" ht="43.5" customHeight="1" x14ac:dyDescent="0.2">
      <c r="A87" s="20" t="s">
        <v>762</v>
      </c>
      <c r="B87" s="21" t="s">
        <v>763</v>
      </c>
      <c r="C87" s="21" t="s">
        <v>358</v>
      </c>
      <c r="D87" s="21" t="s">
        <v>521</v>
      </c>
      <c r="E87" s="21">
        <v>1</v>
      </c>
      <c r="F87" s="20" t="s">
        <v>703</v>
      </c>
      <c r="G87" s="21" t="s">
        <v>641</v>
      </c>
      <c r="H87" s="21" t="s">
        <v>4</v>
      </c>
      <c r="I87" s="22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</row>
    <row r="88" spans="1:30" ht="43.5" customHeight="1" x14ac:dyDescent="0.2">
      <c r="A88" s="20" t="s">
        <v>764</v>
      </c>
      <c r="B88" s="21" t="s">
        <v>765</v>
      </c>
      <c r="C88" s="21" t="s">
        <v>359</v>
      </c>
      <c r="D88" s="21" t="s">
        <v>521</v>
      </c>
      <c r="E88" s="21">
        <v>1</v>
      </c>
      <c r="F88" s="20" t="s">
        <v>706</v>
      </c>
      <c r="G88" s="21" t="s">
        <v>641</v>
      </c>
      <c r="H88" s="21" t="s">
        <v>4</v>
      </c>
      <c r="I88" s="22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0" ht="43.5" customHeight="1" x14ac:dyDescent="0.2">
      <c r="A89" s="20" t="s">
        <v>766</v>
      </c>
      <c r="B89" s="21" t="s">
        <v>767</v>
      </c>
      <c r="C89" s="21" t="s">
        <v>360</v>
      </c>
      <c r="D89" s="21" t="s">
        <v>521</v>
      </c>
      <c r="E89" s="21">
        <v>1</v>
      </c>
      <c r="F89" s="20" t="s">
        <v>709</v>
      </c>
      <c r="G89" s="21" t="s">
        <v>641</v>
      </c>
      <c r="H89" s="21" t="s">
        <v>4</v>
      </c>
      <c r="I89" s="22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0" ht="43.5" customHeight="1" x14ac:dyDescent="0.2">
      <c r="A90" s="20" t="s">
        <v>768</v>
      </c>
      <c r="B90" s="21" t="s">
        <v>769</v>
      </c>
      <c r="C90" s="21" t="s">
        <v>361</v>
      </c>
      <c r="D90" s="21" t="s">
        <v>521</v>
      </c>
      <c r="E90" s="21">
        <v>1</v>
      </c>
      <c r="F90" s="20" t="s">
        <v>712</v>
      </c>
      <c r="G90" s="21" t="s">
        <v>641</v>
      </c>
      <c r="H90" s="21" t="s">
        <v>4</v>
      </c>
      <c r="I90" s="22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0" ht="43.5" customHeight="1" x14ac:dyDescent="0.2">
      <c r="A91" s="20" t="s">
        <v>770</v>
      </c>
      <c r="B91" s="21" t="s">
        <v>771</v>
      </c>
      <c r="C91" s="21" t="s">
        <v>362</v>
      </c>
      <c r="D91" s="21" t="s">
        <v>521</v>
      </c>
      <c r="E91" s="21">
        <v>1</v>
      </c>
      <c r="F91" s="20" t="s">
        <v>715</v>
      </c>
      <c r="G91" s="21" t="s">
        <v>641</v>
      </c>
      <c r="H91" s="21" t="s">
        <v>4</v>
      </c>
      <c r="I91" s="22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0" ht="43.5" customHeight="1" x14ac:dyDescent="0.2">
      <c r="A92" s="20" t="s">
        <v>772</v>
      </c>
      <c r="B92" s="21" t="s">
        <v>773</v>
      </c>
      <c r="C92" s="21" t="s">
        <v>363</v>
      </c>
      <c r="D92" s="21" t="s">
        <v>521</v>
      </c>
      <c r="E92" s="21">
        <v>1</v>
      </c>
      <c r="F92" s="20" t="s">
        <v>718</v>
      </c>
      <c r="G92" s="21" t="s">
        <v>641</v>
      </c>
      <c r="H92" s="21" t="s">
        <v>4</v>
      </c>
      <c r="I92" s="22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0" ht="43.5" customHeight="1" x14ac:dyDescent="0.2">
      <c r="A93" s="20" t="s">
        <v>774</v>
      </c>
      <c r="B93" s="21" t="s">
        <v>775</v>
      </c>
      <c r="C93" s="21" t="s">
        <v>364</v>
      </c>
      <c r="D93" s="21" t="s">
        <v>521</v>
      </c>
      <c r="E93" s="21">
        <v>1</v>
      </c>
      <c r="F93" s="20" t="s">
        <v>776</v>
      </c>
      <c r="G93" s="21" t="s">
        <v>641</v>
      </c>
      <c r="H93" s="21" t="s">
        <v>4</v>
      </c>
      <c r="I93" s="22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0" ht="43.5" customHeight="1" x14ac:dyDescent="0.2">
      <c r="A94" s="20" t="s">
        <v>777</v>
      </c>
      <c r="B94" s="21" t="s">
        <v>778</v>
      </c>
      <c r="C94" s="21" t="s">
        <v>365</v>
      </c>
      <c r="D94" s="21" t="s">
        <v>521</v>
      </c>
      <c r="E94" s="21">
        <v>1</v>
      </c>
      <c r="F94" s="20" t="s">
        <v>776</v>
      </c>
      <c r="G94" s="21" t="s">
        <v>641</v>
      </c>
      <c r="H94" s="21" t="s">
        <v>4</v>
      </c>
      <c r="I94" s="22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0" ht="43.5" customHeight="1" x14ac:dyDescent="0.2">
      <c r="A95" s="20" t="s">
        <v>779</v>
      </c>
      <c r="B95" s="21" t="s">
        <v>780</v>
      </c>
      <c r="C95" s="21" t="s">
        <v>366</v>
      </c>
      <c r="D95" s="21" t="s">
        <v>521</v>
      </c>
      <c r="E95" s="21">
        <v>1</v>
      </c>
      <c r="F95" s="20" t="s">
        <v>776</v>
      </c>
      <c r="G95" s="21" t="s">
        <v>641</v>
      </c>
      <c r="H95" s="21" t="s">
        <v>4</v>
      </c>
      <c r="I95" s="22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0" ht="43.5" customHeight="1" x14ac:dyDescent="0.2">
      <c r="A96" s="20" t="s">
        <v>781</v>
      </c>
      <c r="B96" s="21" t="s">
        <v>782</v>
      </c>
      <c r="C96" s="21" t="s">
        <v>367</v>
      </c>
      <c r="D96" s="21" t="s">
        <v>521</v>
      </c>
      <c r="E96" s="21">
        <v>1</v>
      </c>
      <c r="F96" s="20" t="s">
        <v>776</v>
      </c>
      <c r="G96" s="21" t="s">
        <v>641</v>
      </c>
      <c r="H96" s="21" t="s">
        <v>4</v>
      </c>
      <c r="I96" s="22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43.5" customHeight="1" x14ac:dyDescent="0.2">
      <c r="A97" s="20" t="s">
        <v>783</v>
      </c>
      <c r="B97" s="21" t="s">
        <v>784</v>
      </c>
      <c r="C97" s="21" t="s">
        <v>368</v>
      </c>
      <c r="D97" s="21" t="s">
        <v>521</v>
      </c>
      <c r="E97" s="21">
        <v>1</v>
      </c>
      <c r="F97" s="20" t="s">
        <v>776</v>
      </c>
      <c r="G97" s="21" t="s">
        <v>641</v>
      </c>
      <c r="H97" s="21" t="s">
        <v>4</v>
      </c>
      <c r="I97" s="22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43.5" customHeight="1" x14ac:dyDescent="0.2">
      <c r="A98" s="20" t="s">
        <v>785</v>
      </c>
      <c r="B98" s="21" t="s">
        <v>786</v>
      </c>
      <c r="C98" s="21" t="s">
        <v>369</v>
      </c>
      <c r="D98" s="21" t="s">
        <v>521</v>
      </c>
      <c r="E98" s="21">
        <v>1</v>
      </c>
      <c r="F98" s="20" t="s">
        <v>787</v>
      </c>
      <c r="G98" s="21" t="s">
        <v>641</v>
      </c>
      <c r="H98" s="21" t="s">
        <v>4</v>
      </c>
      <c r="I98" s="22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43.5" customHeight="1" x14ac:dyDescent="0.2">
      <c r="A99" s="20" t="s">
        <v>788</v>
      </c>
      <c r="B99" s="21" t="s">
        <v>789</v>
      </c>
      <c r="C99" s="21" t="s">
        <v>370</v>
      </c>
      <c r="D99" s="21" t="s">
        <v>521</v>
      </c>
      <c r="E99" s="21">
        <v>1</v>
      </c>
      <c r="F99" s="20" t="s">
        <v>790</v>
      </c>
      <c r="G99" s="21" t="s">
        <v>641</v>
      </c>
      <c r="H99" s="21" t="s">
        <v>4</v>
      </c>
      <c r="I99" s="22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43.5" customHeight="1" x14ac:dyDescent="0.2">
      <c r="A100" s="20" t="s">
        <v>791</v>
      </c>
      <c r="B100" s="21" t="s">
        <v>792</v>
      </c>
      <c r="C100" s="21" t="s">
        <v>371</v>
      </c>
      <c r="D100" s="21" t="s">
        <v>521</v>
      </c>
      <c r="E100" s="21">
        <v>1</v>
      </c>
      <c r="F100" s="20" t="s">
        <v>793</v>
      </c>
      <c r="G100" s="21" t="s">
        <v>641</v>
      </c>
      <c r="H100" s="21" t="s">
        <v>4</v>
      </c>
      <c r="I100" s="22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43.5" customHeight="1" x14ac:dyDescent="0.2">
      <c r="A101" s="20" t="s">
        <v>794</v>
      </c>
      <c r="B101" s="21" t="s">
        <v>795</v>
      </c>
      <c r="C101" s="21" t="s">
        <v>372</v>
      </c>
      <c r="D101" s="21" t="s">
        <v>521</v>
      </c>
      <c r="E101" s="21">
        <v>1</v>
      </c>
      <c r="F101" s="20" t="s">
        <v>796</v>
      </c>
      <c r="G101" s="21" t="s">
        <v>641</v>
      </c>
      <c r="H101" s="21" t="s">
        <v>4</v>
      </c>
      <c r="I101" s="22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43.5" customHeight="1" x14ac:dyDescent="0.2">
      <c r="A102" s="20" t="s">
        <v>797</v>
      </c>
      <c r="B102" s="21" t="s">
        <v>798</v>
      </c>
      <c r="C102" s="21" t="s">
        <v>373</v>
      </c>
      <c r="D102" s="21" t="s">
        <v>521</v>
      </c>
      <c r="E102" s="21">
        <v>1</v>
      </c>
      <c r="F102" s="20" t="s">
        <v>799</v>
      </c>
      <c r="G102" s="21" t="s">
        <v>641</v>
      </c>
      <c r="H102" s="21" t="s">
        <v>4</v>
      </c>
      <c r="I102" s="22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43.5" customHeight="1" x14ac:dyDescent="0.2">
      <c r="A103" s="20" t="s">
        <v>800</v>
      </c>
      <c r="B103" s="21" t="s">
        <v>801</v>
      </c>
      <c r="C103" s="21" t="s">
        <v>374</v>
      </c>
      <c r="D103" s="21" t="s">
        <v>521</v>
      </c>
      <c r="E103" s="21">
        <v>1</v>
      </c>
      <c r="F103" s="20" t="s">
        <v>802</v>
      </c>
      <c r="G103" s="21" t="s">
        <v>641</v>
      </c>
      <c r="H103" s="21" t="s">
        <v>4</v>
      </c>
      <c r="I103" s="22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43.5" customHeight="1" x14ac:dyDescent="0.2">
      <c r="A104" s="20" t="s">
        <v>803</v>
      </c>
      <c r="B104" s="21" t="s">
        <v>804</v>
      </c>
      <c r="C104" s="21" t="s">
        <v>375</v>
      </c>
      <c r="D104" s="21" t="s">
        <v>521</v>
      </c>
      <c r="E104" s="21">
        <v>1</v>
      </c>
      <c r="F104" s="20" t="s">
        <v>805</v>
      </c>
      <c r="G104" s="21" t="s">
        <v>641</v>
      </c>
      <c r="H104" s="21" t="s">
        <v>4</v>
      </c>
      <c r="I104" s="22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43.5" customHeight="1" x14ac:dyDescent="0.2">
      <c r="A105" s="20" t="s">
        <v>806</v>
      </c>
      <c r="B105" s="21" t="s">
        <v>807</v>
      </c>
      <c r="C105" s="21" t="s">
        <v>376</v>
      </c>
      <c r="D105" s="21" t="s">
        <v>521</v>
      </c>
      <c r="E105" s="21">
        <v>1</v>
      </c>
      <c r="F105" s="20" t="s">
        <v>808</v>
      </c>
      <c r="G105" s="21" t="s">
        <v>641</v>
      </c>
      <c r="H105" s="21" t="s">
        <v>4</v>
      </c>
      <c r="I105" s="22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43.5" customHeight="1" x14ac:dyDescent="0.2">
      <c r="A106" s="20" t="s">
        <v>809</v>
      </c>
      <c r="B106" s="21" t="s">
        <v>810</v>
      </c>
      <c r="C106" s="21" t="s">
        <v>377</v>
      </c>
      <c r="D106" s="21" t="s">
        <v>521</v>
      </c>
      <c r="E106" s="21">
        <v>1</v>
      </c>
      <c r="F106" s="20" t="s">
        <v>776</v>
      </c>
      <c r="G106" s="21" t="s">
        <v>641</v>
      </c>
      <c r="H106" s="21" t="s">
        <v>4</v>
      </c>
      <c r="I106" s="22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43.5" customHeight="1" x14ac:dyDescent="0.2">
      <c r="A107" s="20" t="s">
        <v>811</v>
      </c>
      <c r="B107" s="21" t="s">
        <v>812</v>
      </c>
      <c r="C107" s="21" t="s">
        <v>378</v>
      </c>
      <c r="D107" s="21" t="s">
        <v>521</v>
      </c>
      <c r="E107" s="21">
        <v>1</v>
      </c>
      <c r="F107" s="20" t="s">
        <v>776</v>
      </c>
      <c r="G107" s="21" t="s">
        <v>641</v>
      </c>
      <c r="H107" s="21" t="s">
        <v>4</v>
      </c>
      <c r="I107" s="22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43.5" customHeight="1" x14ac:dyDescent="0.2">
      <c r="A108" s="20" t="s">
        <v>813</v>
      </c>
      <c r="B108" s="21" t="s">
        <v>814</v>
      </c>
      <c r="C108" s="21" t="s">
        <v>379</v>
      </c>
      <c r="D108" s="21" t="s">
        <v>521</v>
      </c>
      <c r="E108" s="21">
        <v>1</v>
      </c>
      <c r="F108" s="20" t="s">
        <v>776</v>
      </c>
      <c r="G108" s="21" t="s">
        <v>641</v>
      </c>
      <c r="H108" s="21" t="s">
        <v>4</v>
      </c>
      <c r="I108" s="22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43.5" customHeight="1" x14ac:dyDescent="0.2">
      <c r="A109" s="20" t="s">
        <v>815</v>
      </c>
      <c r="B109" s="21" t="s">
        <v>816</v>
      </c>
      <c r="C109" s="21" t="s">
        <v>380</v>
      </c>
      <c r="D109" s="21" t="s">
        <v>521</v>
      </c>
      <c r="E109" s="21">
        <v>1</v>
      </c>
      <c r="F109" s="20" t="s">
        <v>776</v>
      </c>
      <c r="G109" s="21" t="s">
        <v>641</v>
      </c>
      <c r="H109" s="21" t="s">
        <v>4</v>
      </c>
      <c r="I109" s="22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43.5" customHeight="1" x14ac:dyDescent="0.2">
      <c r="A110" s="20" t="s">
        <v>817</v>
      </c>
      <c r="B110" s="21" t="s">
        <v>818</v>
      </c>
      <c r="C110" s="21" t="s">
        <v>381</v>
      </c>
      <c r="D110" s="21" t="s">
        <v>521</v>
      </c>
      <c r="E110" s="21">
        <v>1</v>
      </c>
      <c r="F110" s="20" t="s">
        <v>776</v>
      </c>
      <c r="G110" s="21" t="s">
        <v>641</v>
      </c>
      <c r="H110" s="21" t="s">
        <v>4</v>
      </c>
      <c r="I110" s="22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43.5" customHeight="1" x14ac:dyDescent="0.2">
      <c r="A111" s="20" t="s">
        <v>819</v>
      </c>
      <c r="B111" s="21" t="s">
        <v>820</v>
      </c>
      <c r="C111" s="21" t="s">
        <v>382</v>
      </c>
      <c r="D111" s="21" t="s">
        <v>521</v>
      </c>
      <c r="E111" s="21">
        <v>1</v>
      </c>
      <c r="F111" s="20" t="s">
        <v>787</v>
      </c>
      <c r="G111" s="21" t="s">
        <v>641</v>
      </c>
      <c r="H111" s="21" t="s">
        <v>4</v>
      </c>
      <c r="I111" s="22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43.5" customHeight="1" x14ac:dyDescent="0.2">
      <c r="A112" s="20" t="s">
        <v>821</v>
      </c>
      <c r="B112" s="21" t="s">
        <v>822</v>
      </c>
      <c r="C112" s="21" t="s">
        <v>383</v>
      </c>
      <c r="D112" s="21" t="s">
        <v>521</v>
      </c>
      <c r="E112" s="21">
        <v>1</v>
      </c>
      <c r="F112" s="20" t="s">
        <v>790</v>
      </c>
      <c r="G112" s="21" t="s">
        <v>641</v>
      </c>
      <c r="H112" s="21" t="s">
        <v>4</v>
      </c>
      <c r="I112" s="22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43.5" customHeight="1" x14ac:dyDescent="0.2">
      <c r="A113" s="20" t="s">
        <v>823</v>
      </c>
      <c r="B113" s="21" t="s">
        <v>824</v>
      </c>
      <c r="C113" s="21" t="s">
        <v>384</v>
      </c>
      <c r="D113" s="21" t="s">
        <v>521</v>
      </c>
      <c r="E113" s="21">
        <v>1</v>
      </c>
      <c r="F113" s="20" t="s">
        <v>793</v>
      </c>
      <c r="G113" s="21" t="s">
        <v>641</v>
      </c>
      <c r="H113" s="21" t="s">
        <v>4</v>
      </c>
      <c r="I113" s="22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43.5" customHeight="1" x14ac:dyDescent="0.2">
      <c r="A114" s="20" t="s">
        <v>825</v>
      </c>
      <c r="B114" s="21" t="s">
        <v>826</v>
      </c>
      <c r="C114" s="21" t="s">
        <v>385</v>
      </c>
      <c r="D114" s="21" t="s">
        <v>521</v>
      </c>
      <c r="E114" s="21">
        <v>1</v>
      </c>
      <c r="F114" s="20" t="s">
        <v>796</v>
      </c>
      <c r="G114" s="21" t="s">
        <v>641</v>
      </c>
      <c r="H114" s="21" t="s">
        <v>4</v>
      </c>
      <c r="I114" s="22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43.5" customHeight="1" x14ac:dyDescent="0.2">
      <c r="A115" s="20" t="s">
        <v>827</v>
      </c>
      <c r="B115" s="21" t="s">
        <v>828</v>
      </c>
      <c r="C115" s="21" t="s">
        <v>386</v>
      </c>
      <c r="D115" s="21" t="s">
        <v>521</v>
      </c>
      <c r="E115" s="21">
        <v>1</v>
      </c>
      <c r="F115" s="20" t="s">
        <v>799</v>
      </c>
      <c r="G115" s="21" t="s">
        <v>641</v>
      </c>
      <c r="H115" s="21" t="s">
        <v>4</v>
      </c>
      <c r="I115" s="22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43.5" customHeight="1" x14ac:dyDescent="0.2">
      <c r="A116" s="20" t="s">
        <v>829</v>
      </c>
      <c r="B116" s="21" t="s">
        <v>830</v>
      </c>
      <c r="C116" s="21" t="s">
        <v>387</v>
      </c>
      <c r="D116" s="21" t="s">
        <v>521</v>
      </c>
      <c r="E116" s="21">
        <v>1</v>
      </c>
      <c r="F116" s="20" t="s">
        <v>802</v>
      </c>
      <c r="G116" s="21" t="s">
        <v>641</v>
      </c>
      <c r="H116" s="21" t="s">
        <v>4</v>
      </c>
      <c r="I116" s="22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43.5" customHeight="1" x14ac:dyDescent="0.2">
      <c r="A117" s="20" t="s">
        <v>831</v>
      </c>
      <c r="B117" s="21" t="s">
        <v>832</v>
      </c>
      <c r="C117" s="21" t="s">
        <v>388</v>
      </c>
      <c r="D117" s="21" t="s">
        <v>521</v>
      </c>
      <c r="E117" s="21">
        <v>1</v>
      </c>
      <c r="F117" s="20" t="s">
        <v>805</v>
      </c>
      <c r="G117" s="21" t="s">
        <v>641</v>
      </c>
      <c r="H117" s="21" t="s">
        <v>4</v>
      </c>
      <c r="I117" s="22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43.5" customHeight="1" x14ac:dyDescent="0.2">
      <c r="A118" s="20" t="s">
        <v>833</v>
      </c>
      <c r="B118" s="21" t="s">
        <v>834</v>
      </c>
      <c r="C118" s="21" t="s">
        <v>389</v>
      </c>
      <c r="D118" s="21" t="s">
        <v>521</v>
      </c>
      <c r="E118" s="21">
        <v>1</v>
      </c>
      <c r="F118" s="20" t="s">
        <v>808</v>
      </c>
      <c r="G118" s="21" t="s">
        <v>641</v>
      </c>
      <c r="H118" s="21" t="s">
        <v>4</v>
      </c>
      <c r="I118" s="22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43.5" customHeight="1" x14ac:dyDescent="0.2">
      <c r="A119" s="20" t="s">
        <v>835</v>
      </c>
      <c r="B119" s="21" t="s">
        <v>836</v>
      </c>
      <c r="C119" s="21" t="s">
        <v>390</v>
      </c>
      <c r="D119" s="21" t="s">
        <v>521</v>
      </c>
      <c r="E119" s="21">
        <v>1</v>
      </c>
      <c r="F119" s="20" t="s">
        <v>837</v>
      </c>
      <c r="G119" s="21" t="s">
        <v>581</v>
      </c>
      <c r="H119" s="21" t="s">
        <v>524</v>
      </c>
      <c r="I119" s="22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43.5" customHeight="1" x14ac:dyDescent="0.2">
      <c r="A120" s="20" t="s">
        <v>838</v>
      </c>
      <c r="B120" s="21" t="s">
        <v>839</v>
      </c>
      <c r="C120" s="21" t="s">
        <v>391</v>
      </c>
      <c r="D120" s="21" t="s">
        <v>521</v>
      </c>
      <c r="E120" s="21">
        <v>1</v>
      </c>
      <c r="F120" s="20" t="s">
        <v>840</v>
      </c>
      <c r="G120" s="21" t="s">
        <v>841</v>
      </c>
      <c r="H120" s="21" t="s">
        <v>616</v>
      </c>
      <c r="I120" s="22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43.5" customHeight="1" x14ac:dyDescent="0.2">
      <c r="A121" s="20" t="s">
        <v>842</v>
      </c>
      <c r="B121" s="21" t="s">
        <v>843</v>
      </c>
      <c r="C121" s="21" t="s">
        <v>392</v>
      </c>
      <c r="D121" s="21" t="s">
        <v>521</v>
      </c>
      <c r="E121" s="21">
        <v>1</v>
      </c>
      <c r="F121" s="20" t="s">
        <v>844</v>
      </c>
      <c r="G121" s="21" t="s">
        <v>581</v>
      </c>
      <c r="H121" s="21" t="s">
        <v>524</v>
      </c>
      <c r="I121" s="22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43.5" customHeight="1" x14ac:dyDescent="0.2">
      <c r="A122" s="20" t="s">
        <v>845</v>
      </c>
      <c r="B122" s="21" t="s">
        <v>846</v>
      </c>
      <c r="C122" s="21" t="s">
        <v>393</v>
      </c>
      <c r="D122" s="21" t="s">
        <v>521</v>
      </c>
      <c r="E122" s="21">
        <v>1</v>
      </c>
      <c r="F122" s="20" t="s">
        <v>847</v>
      </c>
      <c r="G122" s="21" t="s">
        <v>581</v>
      </c>
      <c r="H122" s="21" t="s">
        <v>524</v>
      </c>
      <c r="I122" s="22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43.5" customHeight="1" x14ac:dyDescent="0.2">
      <c r="A123" s="20" t="s">
        <v>848</v>
      </c>
      <c r="B123" s="21" t="s">
        <v>849</v>
      </c>
      <c r="C123" s="21" t="s">
        <v>394</v>
      </c>
      <c r="D123" s="21" t="s">
        <v>521</v>
      </c>
      <c r="E123" s="21">
        <v>1</v>
      </c>
      <c r="F123" s="20" t="s">
        <v>850</v>
      </c>
      <c r="G123" s="21" t="s">
        <v>581</v>
      </c>
      <c r="H123" s="21" t="s">
        <v>616</v>
      </c>
      <c r="I123" s="22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43.5" customHeight="1" x14ac:dyDescent="0.2">
      <c r="A124" s="20" t="s">
        <v>851</v>
      </c>
      <c r="B124" s="21" t="s">
        <v>852</v>
      </c>
      <c r="C124" s="21" t="s">
        <v>395</v>
      </c>
      <c r="D124" s="21" t="s">
        <v>521</v>
      </c>
      <c r="E124" s="21">
        <v>1</v>
      </c>
      <c r="F124" s="20" t="s">
        <v>853</v>
      </c>
      <c r="G124" s="21" t="s">
        <v>581</v>
      </c>
      <c r="H124" s="21" t="s">
        <v>524</v>
      </c>
      <c r="I124" s="22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43.5" customHeight="1" x14ac:dyDescent="0.2">
      <c r="A125" s="20" t="s">
        <v>854</v>
      </c>
      <c r="B125" s="21" t="s">
        <v>855</v>
      </c>
      <c r="C125" s="21" t="s">
        <v>396</v>
      </c>
      <c r="D125" s="21" t="s">
        <v>521</v>
      </c>
      <c r="E125" s="21">
        <v>1</v>
      </c>
      <c r="F125" s="20" t="s">
        <v>856</v>
      </c>
      <c r="G125" s="21" t="s">
        <v>581</v>
      </c>
      <c r="H125" s="21" t="s">
        <v>524</v>
      </c>
      <c r="I125" s="22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43.5" customHeight="1" x14ac:dyDescent="0.2">
      <c r="A126" s="20" t="s">
        <v>857</v>
      </c>
      <c r="B126" s="21" t="s">
        <v>858</v>
      </c>
      <c r="C126" s="21" t="s">
        <v>397</v>
      </c>
      <c r="D126" s="21" t="s">
        <v>521</v>
      </c>
      <c r="E126" s="21">
        <v>1</v>
      </c>
      <c r="F126" s="20" t="s">
        <v>837</v>
      </c>
      <c r="G126" s="21" t="s">
        <v>581</v>
      </c>
      <c r="H126" s="21" t="s">
        <v>524</v>
      </c>
      <c r="I126" s="22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43.5" customHeight="1" x14ac:dyDescent="0.2">
      <c r="A127" s="20" t="s">
        <v>859</v>
      </c>
      <c r="B127" s="21" t="s">
        <v>860</v>
      </c>
      <c r="C127" s="21" t="s">
        <v>398</v>
      </c>
      <c r="D127" s="21" t="s">
        <v>521</v>
      </c>
      <c r="E127" s="21">
        <v>1</v>
      </c>
      <c r="F127" s="20" t="s">
        <v>840</v>
      </c>
      <c r="G127" s="21" t="s">
        <v>841</v>
      </c>
      <c r="H127" s="21" t="s">
        <v>616</v>
      </c>
      <c r="I127" s="22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43.5" customHeight="1" x14ac:dyDescent="0.2">
      <c r="A128" s="20" t="s">
        <v>861</v>
      </c>
      <c r="B128" s="21" t="s">
        <v>862</v>
      </c>
      <c r="C128" s="21" t="s">
        <v>399</v>
      </c>
      <c r="D128" s="21" t="s">
        <v>521</v>
      </c>
      <c r="E128" s="21">
        <v>1</v>
      </c>
      <c r="F128" s="20" t="s">
        <v>844</v>
      </c>
      <c r="G128" s="21" t="s">
        <v>581</v>
      </c>
      <c r="H128" s="21" t="s">
        <v>524</v>
      </c>
      <c r="I128" s="22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43.5" customHeight="1" x14ac:dyDescent="0.2">
      <c r="A129" s="20" t="s">
        <v>863</v>
      </c>
      <c r="B129" s="21" t="s">
        <v>864</v>
      </c>
      <c r="C129" s="21" t="s">
        <v>400</v>
      </c>
      <c r="D129" s="21" t="s">
        <v>35</v>
      </c>
      <c r="E129" s="21" t="s">
        <v>499</v>
      </c>
      <c r="F129" s="20" t="s">
        <v>847</v>
      </c>
      <c r="G129" s="21" t="s">
        <v>865</v>
      </c>
      <c r="H129" s="21" t="s">
        <v>866</v>
      </c>
      <c r="I129" s="22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43.5" customHeight="1" x14ac:dyDescent="0.2">
      <c r="A130" s="20" t="s">
        <v>867</v>
      </c>
      <c r="B130" s="21" t="s">
        <v>868</v>
      </c>
      <c r="C130" s="21" t="s">
        <v>401</v>
      </c>
      <c r="D130" s="21" t="s">
        <v>560</v>
      </c>
      <c r="E130" s="24">
        <v>45326</v>
      </c>
      <c r="F130" s="20" t="s">
        <v>869</v>
      </c>
      <c r="G130" s="21" t="s">
        <v>513</v>
      </c>
      <c r="H130" s="21" t="s">
        <v>870</v>
      </c>
      <c r="I130" s="22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43.5" customHeight="1" x14ac:dyDescent="0.2">
      <c r="A131" s="20" t="s">
        <v>871</v>
      </c>
      <c r="B131" s="21" t="s">
        <v>872</v>
      </c>
      <c r="C131" s="21" t="s">
        <v>402</v>
      </c>
      <c r="D131" s="21" t="s">
        <v>560</v>
      </c>
      <c r="E131" s="24">
        <v>45326</v>
      </c>
      <c r="F131" s="20" t="s">
        <v>873</v>
      </c>
      <c r="G131" s="21" t="s">
        <v>513</v>
      </c>
      <c r="H131" s="21" t="s">
        <v>874</v>
      </c>
      <c r="I131" s="22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43.5" customHeight="1" x14ac:dyDescent="0.2">
      <c r="A132" s="20" t="s">
        <v>875</v>
      </c>
      <c r="B132" s="21" t="s">
        <v>876</v>
      </c>
      <c r="C132" s="21" t="s">
        <v>403</v>
      </c>
      <c r="D132" s="21" t="s">
        <v>560</v>
      </c>
      <c r="E132" s="24">
        <v>45326</v>
      </c>
      <c r="F132" s="20" t="s">
        <v>877</v>
      </c>
      <c r="G132" s="21" t="s">
        <v>513</v>
      </c>
      <c r="H132" s="21" t="s">
        <v>878</v>
      </c>
      <c r="I132" s="22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43.5" customHeight="1" x14ac:dyDescent="0.2">
      <c r="A133" s="20" t="s">
        <v>879</v>
      </c>
      <c r="B133" s="21" t="s">
        <v>880</v>
      </c>
      <c r="C133" s="21" t="s">
        <v>404</v>
      </c>
      <c r="D133" s="21" t="s">
        <v>560</v>
      </c>
      <c r="E133" s="24">
        <v>45326</v>
      </c>
      <c r="F133" s="20" t="s">
        <v>881</v>
      </c>
      <c r="G133" s="21" t="s">
        <v>513</v>
      </c>
      <c r="H133" s="21" t="s">
        <v>882</v>
      </c>
      <c r="I133" s="22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43.5" customHeight="1" x14ac:dyDescent="0.2">
      <c r="A134" s="20" t="s">
        <v>883</v>
      </c>
      <c r="B134" s="21" t="s">
        <v>884</v>
      </c>
      <c r="C134" s="21" t="s">
        <v>405</v>
      </c>
      <c r="D134" s="21" t="s">
        <v>560</v>
      </c>
      <c r="E134" s="24">
        <v>45326</v>
      </c>
      <c r="F134" s="20" t="s">
        <v>885</v>
      </c>
      <c r="G134" s="21" t="s">
        <v>513</v>
      </c>
      <c r="H134" s="21" t="s">
        <v>886</v>
      </c>
      <c r="I134" s="22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43.5" customHeight="1" x14ac:dyDescent="0.2">
      <c r="A135" s="20" t="s">
        <v>887</v>
      </c>
      <c r="B135" s="21" t="s">
        <v>888</v>
      </c>
      <c r="C135" s="21" t="s">
        <v>406</v>
      </c>
      <c r="D135" s="21" t="s">
        <v>560</v>
      </c>
      <c r="E135" s="24">
        <v>45326</v>
      </c>
      <c r="F135" s="20" t="s">
        <v>889</v>
      </c>
      <c r="G135" s="21" t="s">
        <v>513</v>
      </c>
      <c r="H135" s="21" t="s">
        <v>890</v>
      </c>
      <c r="I135" s="22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43.5" customHeight="1" x14ac:dyDescent="0.2">
      <c r="A136" s="20" t="s">
        <v>891</v>
      </c>
      <c r="B136" s="21" t="s">
        <v>892</v>
      </c>
      <c r="C136" s="21" t="s">
        <v>407</v>
      </c>
      <c r="D136" s="21" t="s">
        <v>560</v>
      </c>
      <c r="E136" s="24">
        <v>45354</v>
      </c>
      <c r="F136" s="20" t="s">
        <v>893</v>
      </c>
      <c r="G136" s="21" t="s">
        <v>513</v>
      </c>
      <c r="H136" s="26">
        <v>1330</v>
      </c>
      <c r="I136" s="22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43.5" customHeight="1" x14ac:dyDescent="0.2">
      <c r="A137" s="20" t="s">
        <v>894</v>
      </c>
      <c r="B137" s="21" t="s">
        <v>895</v>
      </c>
      <c r="C137" s="21" t="s">
        <v>408</v>
      </c>
      <c r="D137" s="21" t="s">
        <v>507</v>
      </c>
      <c r="E137" s="21">
        <v>2</v>
      </c>
      <c r="F137" s="20" t="s">
        <v>896</v>
      </c>
      <c r="G137" s="21" t="s">
        <v>513</v>
      </c>
      <c r="H137" s="21">
        <v>4</v>
      </c>
      <c r="I137" s="22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43.5" customHeight="1" x14ac:dyDescent="0.2">
      <c r="A138" s="20" t="s">
        <v>897</v>
      </c>
      <c r="B138" s="21" t="s">
        <v>898</v>
      </c>
      <c r="C138" s="21" t="s">
        <v>409</v>
      </c>
      <c r="D138" s="21" t="s">
        <v>560</v>
      </c>
      <c r="E138" s="24">
        <v>45294</v>
      </c>
      <c r="F138" s="20" t="s">
        <v>899</v>
      </c>
      <c r="G138" s="21" t="s">
        <v>513</v>
      </c>
      <c r="H138" s="21" t="s">
        <v>900</v>
      </c>
      <c r="I138" s="22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43.5" customHeight="1" x14ac:dyDescent="0.2">
      <c r="A139" s="20" t="s">
        <v>901</v>
      </c>
      <c r="B139" s="21" t="s">
        <v>902</v>
      </c>
      <c r="C139" s="21" t="s">
        <v>410</v>
      </c>
      <c r="D139" s="21" t="s">
        <v>560</v>
      </c>
      <c r="E139" s="24">
        <v>45294</v>
      </c>
      <c r="F139" s="20" t="s">
        <v>903</v>
      </c>
      <c r="G139" s="21" t="s">
        <v>513</v>
      </c>
      <c r="H139" s="21" t="s">
        <v>904</v>
      </c>
      <c r="I139" s="22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43.5" customHeight="1" x14ac:dyDescent="0.2">
      <c r="A140" s="20" t="s">
        <v>905</v>
      </c>
      <c r="B140" s="21" t="s">
        <v>906</v>
      </c>
      <c r="C140" s="21" t="s">
        <v>411</v>
      </c>
      <c r="D140" s="21" t="s">
        <v>560</v>
      </c>
      <c r="E140" s="24">
        <v>45294</v>
      </c>
      <c r="F140" s="20" t="s">
        <v>907</v>
      </c>
      <c r="G140" s="21" t="s">
        <v>513</v>
      </c>
      <c r="H140" s="21" t="s">
        <v>908</v>
      </c>
      <c r="I140" s="22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43.5" customHeight="1" x14ac:dyDescent="0.2">
      <c r="A141" s="20" t="s">
        <v>909</v>
      </c>
      <c r="B141" s="21" t="s">
        <v>910</v>
      </c>
      <c r="C141" s="21" t="s">
        <v>412</v>
      </c>
      <c r="D141" s="21" t="s">
        <v>560</v>
      </c>
      <c r="E141" s="24">
        <v>45294</v>
      </c>
      <c r="F141" s="20" t="s">
        <v>911</v>
      </c>
      <c r="G141" s="21" t="s">
        <v>513</v>
      </c>
      <c r="H141" s="21" t="s">
        <v>912</v>
      </c>
      <c r="I141" s="22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43.5" customHeight="1" x14ac:dyDescent="0.2">
      <c r="A142" s="20" t="s">
        <v>913</v>
      </c>
      <c r="B142" s="21" t="s">
        <v>914</v>
      </c>
      <c r="C142" s="21" t="s">
        <v>915</v>
      </c>
      <c r="D142" s="21" t="s">
        <v>560</v>
      </c>
      <c r="E142" s="24">
        <v>45294</v>
      </c>
      <c r="F142" s="20" t="s">
        <v>916</v>
      </c>
      <c r="G142" s="21" t="s">
        <v>513</v>
      </c>
      <c r="H142" s="21" t="s">
        <v>912</v>
      </c>
      <c r="I142" s="22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43.5" customHeight="1" x14ac:dyDescent="0.2">
      <c r="A143" s="20" t="s">
        <v>917</v>
      </c>
      <c r="B143" s="21" t="s">
        <v>918</v>
      </c>
      <c r="C143" s="21" t="s">
        <v>414</v>
      </c>
      <c r="D143" s="21" t="s">
        <v>560</v>
      </c>
      <c r="E143" s="24">
        <v>45294</v>
      </c>
      <c r="F143" s="20" t="s">
        <v>919</v>
      </c>
      <c r="G143" s="21" t="s">
        <v>513</v>
      </c>
      <c r="H143" s="21" t="s">
        <v>920</v>
      </c>
      <c r="I143" s="22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43.5" customHeight="1" x14ac:dyDescent="0.2">
      <c r="A144" s="20" t="s">
        <v>921</v>
      </c>
      <c r="B144" s="21" t="s">
        <v>922</v>
      </c>
      <c r="C144" s="21" t="s">
        <v>415</v>
      </c>
      <c r="D144" s="21" t="s">
        <v>507</v>
      </c>
      <c r="E144" s="21">
        <v>1</v>
      </c>
      <c r="F144" s="20" t="s">
        <v>923</v>
      </c>
      <c r="G144" s="21" t="s">
        <v>924</v>
      </c>
      <c r="H144" s="21">
        <v>0</v>
      </c>
      <c r="I144" s="22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43.5" customHeight="1" x14ac:dyDescent="0.2">
      <c r="A145" s="20" t="s">
        <v>925</v>
      </c>
      <c r="B145" s="21" t="s">
        <v>926</v>
      </c>
      <c r="C145" s="21" t="s">
        <v>416</v>
      </c>
      <c r="D145" s="21" t="s">
        <v>560</v>
      </c>
      <c r="E145" s="24">
        <v>45294</v>
      </c>
      <c r="F145" s="20" t="s">
        <v>927</v>
      </c>
      <c r="G145" s="21" t="s">
        <v>513</v>
      </c>
      <c r="H145" s="21" t="s">
        <v>920</v>
      </c>
      <c r="I145" s="22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43.5" customHeight="1" x14ac:dyDescent="0.2">
      <c r="A146" s="20" t="s">
        <v>928</v>
      </c>
      <c r="B146" s="21" t="s">
        <v>929</v>
      </c>
      <c r="C146" s="21" t="s">
        <v>417</v>
      </c>
      <c r="D146" s="21" t="s">
        <v>560</v>
      </c>
      <c r="E146" s="24">
        <v>45294</v>
      </c>
      <c r="F146" s="20" t="s">
        <v>930</v>
      </c>
      <c r="G146" s="21" t="s">
        <v>513</v>
      </c>
      <c r="H146" s="24">
        <v>45413</v>
      </c>
      <c r="I146" s="22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43.5" customHeight="1" x14ac:dyDescent="0.2">
      <c r="A147" s="20" t="s">
        <v>931</v>
      </c>
      <c r="B147" s="21" t="s">
        <v>932</v>
      </c>
      <c r="C147" s="21" t="s">
        <v>418</v>
      </c>
      <c r="D147" s="21" t="s">
        <v>560</v>
      </c>
      <c r="E147" s="24">
        <v>45326</v>
      </c>
      <c r="F147" s="20" t="s">
        <v>933</v>
      </c>
      <c r="G147" s="21" t="s">
        <v>513</v>
      </c>
      <c r="H147" s="21" t="s">
        <v>886</v>
      </c>
      <c r="I147" s="22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43.5" customHeight="1" x14ac:dyDescent="0.2">
      <c r="A148" s="20" t="s">
        <v>934</v>
      </c>
      <c r="B148" s="21" t="s">
        <v>935</v>
      </c>
      <c r="C148" s="21" t="s">
        <v>419</v>
      </c>
      <c r="D148" s="21" t="s">
        <v>560</v>
      </c>
      <c r="E148" s="24">
        <v>45354</v>
      </c>
      <c r="F148" s="20" t="s">
        <v>893</v>
      </c>
      <c r="G148" s="21" t="s">
        <v>513</v>
      </c>
      <c r="H148" s="26">
        <v>1330</v>
      </c>
      <c r="I148" s="22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43.5" customHeight="1" x14ac:dyDescent="0.2">
      <c r="A149" s="20" t="s">
        <v>936</v>
      </c>
      <c r="B149" s="21" t="s">
        <v>937</v>
      </c>
      <c r="C149" s="21" t="s">
        <v>420</v>
      </c>
      <c r="D149" s="21" t="s">
        <v>507</v>
      </c>
      <c r="E149" s="21">
        <v>2</v>
      </c>
      <c r="F149" s="20" t="s">
        <v>896</v>
      </c>
      <c r="G149" s="21" t="s">
        <v>513</v>
      </c>
      <c r="H149" s="21">
        <v>4</v>
      </c>
      <c r="I149" s="22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43.5" customHeight="1" x14ac:dyDescent="0.2">
      <c r="A150" s="20" t="s">
        <v>938</v>
      </c>
      <c r="B150" s="21" t="s">
        <v>939</v>
      </c>
      <c r="C150" s="21" t="s">
        <v>421</v>
      </c>
      <c r="D150" s="21" t="s">
        <v>560</v>
      </c>
      <c r="E150" s="24">
        <v>45294</v>
      </c>
      <c r="F150" s="20" t="s">
        <v>899</v>
      </c>
      <c r="G150" s="21" t="s">
        <v>513</v>
      </c>
      <c r="H150" s="21" t="s">
        <v>900</v>
      </c>
      <c r="I150" s="22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43.5" customHeight="1" x14ac:dyDescent="0.2">
      <c r="A151" s="20" t="s">
        <v>940</v>
      </c>
      <c r="B151" s="21" t="s">
        <v>941</v>
      </c>
      <c r="C151" s="21" t="s">
        <v>422</v>
      </c>
      <c r="D151" s="21" t="s">
        <v>560</v>
      </c>
      <c r="E151" s="24">
        <v>45294</v>
      </c>
      <c r="F151" s="20" t="s">
        <v>903</v>
      </c>
      <c r="G151" s="21" t="s">
        <v>513</v>
      </c>
      <c r="H151" s="21" t="s">
        <v>904</v>
      </c>
      <c r="I151" s="22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43.5" customHeight="1" x14ac:dyDescent="0.2">
      <c r="A152" s="20" t="s">
        <v>942</v>
      </c>
      <c r="B152" s="21" t="s">
        <v>943</v>
      </c>
      <c r="C152" s="21" t="s">
        <v>423</v>
      </c>
      <c r="D152" s="21" t="s">
        <v>560</v>
      </c>
      <c r="E152" s="24">
        <v>45294</v>
      </c>
      <c r="F152" s="20" t="s">
        <v>907</v>
      </c>
      <c r="G152" s="21" t="s">
        <v>513</v>
      </c>
      <c r="H152" s="21" t="s">
        <v>908</v>
      </c>
      <c r="I152" s="22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43.5" customHeight="1" x14ac:dyDescent="0.2">
      <c r="A153" s="20" t="s">
        <v>944</v>
      </c>
      <c r="B153" s="21" t="s">
        <v>945</v>
      </c>
      <c r="C153" s="21" t="s">
        <v>424</v>
      </c>
      <c r="D153" s="21" t="s">
        <v>560</v>
      </c>
      <c r="E153" s="24">
        <v>45294</v>
      </c>
      <c r="F153" s="20" t="s">
        <v>911</v>
      </c>
      <c r="G153" s="21" t="s">
        <v>513</v>
      </c>
      <c r="H153" s="21" t="s">
        <v>912</v>
      </c>
      <c r="I153" s="22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43.5" customHeight="1" x14ac:dyDescent="0.2">
      <c r="A154" s="20" t="s">
        <v>946</v>
      </c>
      <c r="B154" s="21" t="s">
        <v>947</v>
      </c>
      <c r="C154" s="21" t="s">
        <v>948</v>
      </c>
      <c r="D154" s="21" t="s">
        <v>560</v>
      </c>
      <c r="E154" s="24">
        <v>45294</v>
      </c>
      <c r="F154" s="20" t="s">
        <v>916</v>
      </c>
      <c r="G154" s="21" t="s">
        <v>513</v>
      </c>
      <c r="H154" s="21" t="s">
        <v>912</v>
      </c>
      <c r="I154" s="22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43.5" customHeight="1" x14ac:dyDescent="0.2">
      <c r="A155" s="20" t="s">
        <v>949</v>
      </c>
      <c r="B155" s="21" t="s">
        <v>950</v>
      </c>
      <c r="C155" s="21" t="s">
        <v>426</v>
      </c>
      <c r="D155" s="21" t="s">
        <v>560</v>
      </c>
      <c r="E155" s="24">
        <v>45294</v>
      </c>
      <c r="F155" s="20" t="s">
        <v>919</v>
      </c>
      <c r="G155" s="21" t="s">
        <v>513</v>
      </c>
      <c r="H155" s="21" t="s">
        <v>920</v>
      </c>
      <c r="I155" s="22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43.5" customHeight="1" x14ac:dyDescent="0.2">
      <c r="A156" s="20" t="s">
        <v>951</v>
      </c>
      <c r="B156" s="21" t="s">
        <v>952</v>
      </c>
      <c r="C156" s="21" t="s">
        <v>427</v>
      </c>
      <c r="D156" s="21" t="s">
        <v>507</v>
      </c>
      <c r="E156" s="21">
        <v>1</v>
      </c>
      <c r="F156" s="20" t="s">
        <v>923</v>
      </c>
      <c r="G156" s="21" t="s">
        <v>924</v>
      </c>
      <c r="H156" s="21">
        <v>0</v>
      </c>
      <c r="I156" s="22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43.5" customHeight="1" x14ac:dyDescent="0.2">
      <c r="A157" s="20" t="s">
        <v>953</v>
      </c>
      <c r="B157" s="21" t="s">
        <v>954</v>
      </c>
      <c r="C157" s="21" t="s">
        <v>428</v>
      </c>
      <c r="D157" s="21" t="s">
        <v>560</v>
      </c>
      <c r="E157" s="24">
        <v>45294</v>
      </c>
      <c r="F157" s="20" t="s">
        <v>927</v>
      </c>
      <c r="G157" s="21" t="s">
        <v>513</v>
      </c>
      <c r="H157" s="21" t="s">
        <v>920</v>
      </c>
      <c r="I157" s="22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43.5" customHeight="1" x14ac:dyDescent="0.2">
      <c r="A158" s="20" t="s">
        <v>955</v>
      </c>
      <c r="B158" s="21" t="s">
        <v>956</v>
      </c>
      <c r="C158" s="21" t="s">
        <v>429</v>
      </c>
      <c r="D158" s="21" t="s">
        <v>560</v>
      </c>
      <c r="E158" s="24">
        <v>45294</v>
      </c>
      <c r="F158" s="20" t="s">
        <v>930</v>
      </c>
      <c r="G158" s="21" t="s">
        <v>513</v>
      </c>
      <c r="H158" s="24">
        <v>45413</v>
      </c>
      <c r="I158" s="22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43.5" customHeight="1" x14ac:dyDescent="0.2">
      <c r="A159" s="20" t="s">
        <v>957</v>
      </c>
      <c r="B159" s="21" t="s">
        <v>958</v>
      </c>
      <c r="C159" s="21" t="s">
        <v>430</v>
      </c>
      <c r="D159" s="21" t="s">
        <v>560</v>
      </c>
      <c r="E159" s="24">
        <v>45326</v>
      </c>
      <c r="F159" s="20" t="s">
        <v>933</v>
      </c>
      <c r="G159" s="21" t="s">
        <v>513</v>
      </c>
      <c r="H159" s="21" t="s">
        <v>886</v>
      </c>
      <c r="I159" s="22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43.5" customHeight="1" x14ac:dyDescent="0.2">
      <c r="A160" s="20" t="s">
        <v>959</v>
      </c>
      <c r="B160" s="21" t="s">
        <v>960</v>
      </c>
      <c r="C160" s="21" t="s">
        <v>431</v>
      </c>
      <c r="D160" s="21" t="s">
        <v>507</v>
      </c>
      <c r="E160" s="21">
        <v>2</v>
      </c>
      <c r="F160" s="20" t="s">
        <v>961</v>
      </c>
      <c r="G160" s="21" t="s">
        <v>513</v>
      </c>
      <c r="H160" s="21">
        <v>4</v>
      </c>
      <c r="I160" s="22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43.5" customHeight="1" x14ac:dyDescent="0.2">
      <c r="A161" s="20" t="s">
        <v>962</v>
      </c>
      <c r="B161" s="21" t="s">
        <v>963</v>
      </c>
      <c r="C161" s="21" t="s">
        <v>432</v>
      </c>
      <c r="D161" s="21" t="s">
        <v>560</v>
      </c>
      <c r="E161" s="24">
        <v>45325</v>
      </c>
      <c r="F161" s="20" t="s">
        <v>964</v>
      </c>
      <c r="G161" s="21" t="s">
        <v>513</v>
      </c>
      <c r="H161" s="21" t="s">
        <v>965</v>
      </c>
      <c r="I161" s="22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43.5" customHeight="1" x14ac:dyDescent="0.2">
      <c r="A162" s="20" t="s">
        <v>966</v>
      </c>
      <c r="B162" s="21" t="s">
        <v>967</v>
      </c>
      <c r="C162" s="21" t="s">
        <v>433</v>
      </c>
      <c r="D162" s="21" t="s">
        <v>507</v>
      </c>
      <c r="E162" s="21">
        <v>2</v>
      </c>
      <c r="F162" s="20" t="s">
        <v>968</v>
      </c>
      <c r="G162" s="21" t="s">
        <v>513</v>
      </c>
      <c r="H162" s="21">
        <v>4</v>
      </c>
      <c r="I162" s="22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43.5" customHeight="1" x14ac:dyDescent="0.2">
      <c r="A163" s="20" t="s">
        <v>969</v>
      </c>
      <c r="B163" s="21" t="s">
        <v>970</v>
      </c>
      <c r="C163" s="21" t="s">
        <v>971</v>
      </c>
      <c r="D163" s="21" t="s">
        <v>560</v>
      </c>
      <c r="E163" s="24">
        <v>45354</v>
      </c>
      <c r="F163" s="20" t="s">
        <v>972</v>
      </c>
      <c r="G163" s="21" t="s">
        <v>513</v>
      </c>
      <c r="H163" s="26">
        <v>1500</v>
      </c>
      <c r="I163" s="22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43.5" customHeight="1" x14ac:dyDescent="0.2">
      <c r="A164" s="20" t="s">
        <v>973</v>
      </c>
      <c r="B164" s="21" t="s">
        <v>974</v>
      </c>
      <c r="C164" s="21" t="s">
        <v>435</v>
      </c>
      <c r="D164" s="21" t="s">
        <v>560</v>
      </c>
      <c r="E164" s="24">
        <v>45294</v>
      </c>
      <c r="F164" s="20" t="s">
        <v>975</v>
      </c>
      <c r="G164" s="21" t="s">
        <v>513</v>
      </c>
      <c r="H164" s="21" t="s">
        <v>900</v>
      </c>
      <c r="I164" s="22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43.5" customHeight="1" x14ac:dyDescent="0.2">
      <c r="A165" s="20" t="s">
        <v>976</v>
      </c>
      <c r="B165" s="21" t="s">
        <v>977</v>
      </c>
      <c r="C165" s="21" t="s">
        <v>436</v>
      </c>
      <c r="D165" s="21" t="s">
        <v>560</v>
      </c>
      <c r="E165" s="24">
        <v>45294</v>
      </c>
      <c r="F165" s="20" t="s">
        <v>978</v>
      </c>
      <c r="G165" s="21" t="s">
        <v>513</v>
      </c>
      <c r="H165" s="21" t="s">
        <v>979</v>
      </c>
      <c r="I165" s="22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43.5" customHeight="1" x14ac:dyDescent="0.2">
      <c r="A166" s="20" t="s">
        <v>980</v>
      </c>
      <c r="B166" s="21" t="s">
        <v>981</v>
      </c>
      <c r="C166" s="21" t="s">
        <v>437</v>
      </c>
      <c r="D166" s="21" t="s">
        <v>560</v>
      </c>
      <c r="E166" s="24">
        <v>45294</v>
      </c>
      <c r="F166" s="20" t="s">
        <v>982</v>
      </c>
      <c r="G166" s="21" t="s">
        <v>513</v>
      </c>
      <c r="H166" s="21" t="s">
        <v>920</v>
      </c>
      <c r="I166" s="22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43.5" customHeight="1" x14ac:dyDescent="0.2">
      <c r="A167" s="20" t="s">
        <v>983</v>
      </c>
      <c r="B167" s="21" t="s">
        <v>984</v>
      </c>
      <c r="C167" s="21" t="s">
        <v>438</v>
      </c>
      <c r="D167" s="21" t="s">
        <v>560</v>
      </c>
      <c r="E167" s="24">
        <v>45294</v>
      </c>
      <c r="F167" s="20" t="s">
        <v>985</v>
      </c>
      <c r="G167" s="21" t="s">
        <v>513</v>
      </c>
      <c r="H167" s="21" t="s">
        <v>912</v>
      </c>
      <c r="I167" s="22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43.5" customHeight="1" x14ac:dyDescent="0.2">
      <c r="A168" s="20" t="s">
        <v>986</v>
      </c>
      <c r="B168" s="21" t="s">
        <v>987</v>
      </c>
      <c r="C168" s="21" t="s">
        <v>439</v>
      </c>
      <c r="D168" s="21" t="s">
        <v>560</v>
      </c>
      <c r="E168" s="24">
        <v>45294</v>
      </c>
      <c r="F168" s="20" t="s">
        <v>988</v>
      </c>
      <c r="G168" s="21" t="s">
        <v>513</v>
      </c>
      <c r="H168" s="21" t="s">
        <v>904</v>
      </c>
      <c r="I168" s="22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43.5" customHeight="1" x14ac:dyDescent="0.2">
      <c r="A169" s="20" t="s">
        <v>989</v>
      </c>
      <c r="B169" s="21" t="s">
        <v>990</v>
      </c>
      <c r="C169" s="21" t="s">
        <v>440</v>
      </c>
      <c r="D169" s="21" t="s">
        <v>560</v>
      </c>
      <c r="E169" s="24">
        <v>45294</v>
      </c>
      <c r="F169" s="20" t="s">
        <v>991</v>
      </c>
      <c r="G169" s="21" t="s">
        <v>513</v>
      </c>
      <c r="H169" s="21" t="s">
        <v>904</v>
      </c>
      <c r="I169" s="22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43.5" customHeight="1" x14ac:dyDescent="0.2">
      <c r="A170" s="20" t="s">
        <v>992</v>
      </c>
      <c r="B170" s="21" t="s">
        <v>993</v>
      </c>
      <c r="C170" s="21" t="s">
        <v>441</v>
      </c>
      <c r="D170" s="21" t="s">
        <v>560</v>
      </c>
      <c r="E170" s="24">
        <v>45294</v>
      </c>
      <c r="F170" s="20" t="s">
        <v>994</v>
      </c>
      <c r="G170" s="21" t="s">
        <v>513</v>
      </c>
      <c r="H170" s="24">
        <v>45413</v>
      </c>
      <c r="I170" s="22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43.5" customHeight="1" x14ac:dyDescent="0.2">
      <c r="A171" s="20" t="s">
        <v>995</v>
      </c>
      <c r="B171" s="21" t="s">
        <v>996</v>
      </c>
      <c r="C171" s="21" t="s">
        <v>442</v>
      </c>
      <c r="D171" s="21" t="s">
        <v>560</v>
      </c>
      <c r="E171" s="24">
        <v>45294</v>
      </c>
      <c r="F171" s="20" t="s">
        <v>994</v>
      </c>
      <c r="G171" s="21" t="s">
        <v>513</v>
      </c>
      <c r="H171" s="24">
        <v>45413</v>
      </c>
      <c r="I171" s="22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43.5" customHeight="1" x14ac:dyDescent="0.2">
      <c r="A172" s="20" t="s">
        <v>997</v>
      </c>
      <c r="B172" s="21" t="s">
        <v>998</v>
      </c>
      <c r="C172" s="21" t="s">
        <v>443</v>
      </c>
      <c r="D172" s="21" t="s">
        <v>521</v>
      </c>
      <c r="E172" s="21">
        <v>1</v>
      </c>
      <c r="F172" s="20" t="s">
        <v>999</v>
      </c>
      <c r="G172" s="21" t="s">
        <v>641</v>
      </c>
      <c r="H172" s="21" t="s">
        <v>4</v>
      </c>
      <c r="I172" s="22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43.5" customHeight="1" x14ac:dyDescent="0.2">
      <c r="A173" s="20" t="s">
        <v>1000</v>
      </c>
      <c r="B173" s="21" t="s">
        <v>1001</v>
      </c>
      <c r="C173" s="21" t="s">
        <v>1002</v>
      </c>
      <c r="D173" s="21" t="s">
        <v>521</v>
      </c>
      <c r="E173" s="21">
        <v>1</v>
      </c>
      <c r="F173" s="20" t="s">
        <v>1003</v>
      </c>
      <c r="G173" s="21" t="s">
        <v>641</v>
      </c>
      <c r="H173" s="21" t="s">
        <v>4</v>
      </c>
      <c r="I173" s="22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43.5" customHeight="1" x14ac:dyDescent="0.2">
      <c r="A174" s="20" t="s">
        <v>1004</v>
      </c>
      <c r="B174" s="21" t="s">
        <v>1005</v>
      </c>
      <c r="C174" s="21" t="s">
        <v>1006</v>
      </c>
      <c r="D174" s="21" t="s">
        <v>521</v>
      </c>
      <c r="E174" s="21">
        <v>1</v>
      </c>
      <c r="F174" s="20" t="s">
        <v>1007</v>
      </c>
      <c r="G174" s="21" t="s">
        <v>641</v>
      </c>
      <c r="H174" s="21" t="s">
        <v>4</v>
      </c>
      <c r="I174" s="22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43.5" customHeight="1" x14ac:dyDescent="0.2">
      <c r="A175" s="20" t="s">
        <v>1008</v>
      </c>
      <c r="B175" s="21" t="s">
        <v>1009</v>
      </c>
      <c r="C175" s="21" t="s">
        <v>1010</v>
      </c>
      <c r="D175" s="21" t="s">
        <v>521</v>
      </c>
      <c r="E175" s="21">
        <v>1</v>
      </c>
      <c r="F175" s="20" t="s">
        <v>1011</v>
      </c>
      <c r="G175" s="21" t="s">
        <v>641</v>
      </c>
      <c r="H175" s="21" t="s">
        <v>4</v>
      </c>
      <c r="I175" s="22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43.5" customHeight="1" x14ac:dyDescent="0.2">
      <c r="A176" s="20" t="s">
        <v>1012</v>
      </c>
      <c r="B176" s="21" t="s">
        <v>1013</v>
      </c>
      <c r="C176" s="21" t="s">
        <v>447</v>
      </c>
      <c r="D176" s="21" t="s">
        <v>521</v>
      </c>
      <c r="E176" s="21">
        <v>1</v>
      </c>
      <c r="F176" s="20" t="s">
        <v>1014</v>
      </c>
      <c r="G176" s="21" t="s">
        <v>641</v>
      </c>
      <c r="H176" s="21" t="s">
        <v>4</v>
      </c>
      <c r="I176" s="22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43.5" customHeight="1" x14ac:dyDescent="0.2">
      <c r="A177" s="20" t="s">
        <v>1015</v>
      </c>
      <c r="B177" s="21" t="s">
        <v>1016</v>
      </c>
      <c r="C177" s="21" t="s">
        <v>448</v>
      </c>
      <c r="D177" s="21" t="s">
        <v>521</v>
      </c>
      <c r="E177" s="21">
        <v>1</v>
      </c>
      <c r="F177" s="20" t="s">
        <v>1017</v>
      </c>
      <c r="G177" s="21" t="s">
        <v>641</v>
      </c>
      <c r="H177" s="21" t="s">
        <v>4</v>
      </c>
      <c r="I177" s="22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43.5" customHeight="1" x14ac:dyDescent="0.2">
      <c r="A178" s="20" t="s">
        <v>1018</v>
      </c>
      <c r="B178" s="21" t="s">
        <v>1019</v>
      </c>
      <c r="C178" s="21" t="s">
        <v>449</v>
      </c>
      <c r="D178" s="21" t="s">
        <v>521</v>
      </c>
      <c r="E178" s="21">
        <v>1</v>
      </c>
      <c r="F178" s="20" t="s">
        <v>1020</v>
      </c>
      <c r="G178" s="21" t="s">
        <v>641</v>
      </c>
      <c r="H178" s="21" t="s">
        <v>4</v>
      </c>
      <c r="I178" s="22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43.5" customHeight="1" x14ac:dyDescent="0.2">
      <c r="A179" s="20" t="s">
        <v>1021</v>
      </c>
      <c r="B179" s="21" t="s">
        <v>1022</v>
      </c>
      <c r="C179" s="21" t="s">
        <v>450</v>
      </c>
      <c r="D179" s="21" t="s">
        <v>521</v>
      </c>
      <c r="E179" s="21">
        <v>1</v>
      </c>
      <c r="F179" s="20" t="s">
        <v>1023</v>
      </c>
      <c r="G179" s="21" t="s">
        <v>641</v>
      </c>
      <c r="H179" s="21" t="s">
        <v>4</v>
      </c>
      <c r="I179" s="22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43.5" customHeight="1" x14ac:dyDescent="0.2">
      <c r="A180" s="20" t="s">
        <v>1024</v>
      </c>
      <c r="B180" s="21" t="s">
        <v>1025</v>
      </c>
      <c r="C180" s="21" t="s">
        <v>451</v>
      </c>
      <c r="D180" s="21" t="s">
        <v>521</v>
      </c>
      <c r="E180" s="21">
        <v>1</v>
      </c>
      <c r="F180" s="20" t="s">
        <v>1026</v>
      </c>
      <c r="G180" s="21" t="s">
        <v>641</v>
      </c>
      <c r="H180" s="21" t="s">
        <v>4</v>
      </c>
      <c r="I180" s="22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43.5" customHeight="1" x14ac:dyDescent="0.2">
      <c r="A181" s="20" t="s">
        <v>1027</v>
      </c>
      <c r="B181" s="21" t="s">
        <v>1028</v>
      </c>
      <c r="C181" s="21" t="s">
        <v>1029</v>
      </c>
      <c r="D181" s="21" t="s">
        <v>521</v>
      </c>
      <c r="E181" s="21">
        <v>1</v>
      </c>
      <c r="F181" s="20" t="s">
        <v>1030</v>
      </c>
      <c r="G181" s="21" t="s">
        <v>641</v>
      </c>
      <c r="H181" s="21" t="s">
        <v>4</v>
      </c>
      <c r="I181" s="22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43.5" customHeight="1" x14ac:dyDescent="0.2">
      <c r="A182" s="20" t="s">
        <v>1031</v>
      </c>
      <c r="B182" s="21" t="s">
        <v>1032</v>
      </c>
      <c r="C182" s="27" t="s">
        <v>453</v>
      </c>
      <c r="D182" s="21" t="s">
        <v>521</v>
      </c>
      <c r="E182" s="21">
        <v>1</v>
      </c>
      <c r="F182" s="20" t="s">
        <v>1033</v>
      </c>
      <c r="G182" s="21" t="s">
        <v>641</v>
      </c>
      <c r="H182" s="21" t="s">
        <v>4</v>
      </c>
      <c r="I182" s="22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43.5" customHeight="1" x14ac:dyDescent="0.2">
      <c r="A183" s="20" t="s">
        <v>1034</v>
      </c>
      <c r="B183" s="21" t="s">
        <v>1035</v>
      </c>
      <c r="C183" s="21" t="s">
        <v>454</v>
      </c>
      <c r="D183" s="21" t="s">
        <v>521</v>
      </c>
      <c r="E183" s="21">
        <v>1</v>
      </c>
      <c r="F183" s="20" t="s">
        <v>1036</v>
      </c>
      <c r="G183" s="21" t="s">
        <v>641</v>
      </c>
      <c r="H183" s="21" t="s">
        <v>4</v>
      </c>
      <c r="I183" s="22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43.5" customHeight="1" x14ac:dyDescent="0.2">
      <c r="A184" s="20" t="s">
        <v>1037</v>
      </c>
      <c r="B184" s="21" t="s">
        <v>1038</v>
      </c>
      <c r="C184" s="21" t="s">
        <v>455</v>
      </c>
      <c r="D184" s="21" t="s">
        <v>521</v>
      </c>
      <c r="E184" s="21">
        <v>1</v>
      </c>
      <c r="F184" s="20" t="s">
        <v>1039</v>
      </c>
      <c r="G184" s="21" t="s">
        <v>641</v>
      </c>
      <c r="H184" s="21" t="s">
        <v>4</v>
      </c>
      <c r="I184" s="22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43.5" customHeight="1" x14ac:dyDescent="0.2">
      <c r="A185" s="20" t="s">
        <v>1040</v>
      </c>
      <c r="B185" s="21" t="s">
        <v>1041</v>
      </c>
      <c r="C185" s="21" t="s">
        <v>456</v>
      </c>
      <c r="D185" s="21" t="s">
        <v>521</v>
      </c>
      <c r="E185" s="21">
        <v>1</v>
      </c>
      <c r="F185" s="20" t="s">
        <v>1042</v>
      </c>
      <c r="G185" s="21" t="s">
        <v>641</v>
      </c>
      <c r="H185" s="21" t="s">
        <v>4</v>
      </c>
      <c r="I185" s="22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43.5" customHeight="1" x14ac:dyDescent="0.2">
      <c r="A186" s="20" t="s">
        <v>1043</v>
      </c>
      <c r="B186" s="21" t="s">
        <v>1044</v>
      </c>
      <c r="C186" s="21" t="s">
        <v>457</v>
      </c>
      <c r="D186" s="21" t="s">
        <v>521</v>
      </c>
      <c r="E186" s="21">
        <v>1</v>
      </c>
      <c r="F186" s="20" t="s">
        <v>1045</v>
      </c>
      <c r="G186" s="21" t="s">
        <v>641</v>
      </c>
      <c r="H186" s="21" t="s">
        <v>4</v>
      </c>
      <c r="I186" s="22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43.5" customHeight="1" x14ac:dyDescent="0.2">
      <c r="A187" s="20" t="s">
        <v>1046</v>
      </c>
      <c r="B187" s="21" t="s">
        <v>1047</v>
      </c>
      <c r="C187" s="21" t="s">
        <v>458</v>
      </c>
      <c r="D187" s="21" t="s">
        <v>521</v>
      </c>
      <c r="E187" s="21">
        <v>1</v>
      </c>
      <c r="F187" s="20" t="s">
        <v>1048</v>
      </c>
      <c r="G187" s="21" t="s">
        <v>641</v>
      </c>
      <c r="H187" s="21" t="s">
        <v>4</v>
      </c>
      <c r="I187" s="22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2.75" x14ac:dyDescent="0.2">
      <c r="A188" s="28"/>
      <c r="B188" s="29"/>
      <c r="C188" s="29"/>
      <c r="D188" s="29"/>
      <c r="E188" s="29"/>
      <c r="F188" s="28"/>
      <c r="G188" s="29"/>
      <c r="H188" s="29"/>
      <c r="I188" s="28"/>
    </row>
    <row r="189" spans="1:30" ht="12.75" x14ac:dyDescent="0.2">
      <c r="A189" s="28"/>
      <c r="B189" s="29"/>
      <c r="C189" s="29"/>
      <c r="D189" s="29"/>
      <c r="E189" s="29"/>
      <c r="F189" s="28"/>
      <c r="G189" s="29"/>
      <c r="H189" s="29"/>
      <c r="I189" s="28"/>
    </row>
    <row r="190" spans="1:30" ht="12.75" x14ac:dyDescent="0.2">
      <c r="A190" s="28"/>
      <c r="B190" s="29"/>
      <c r="C190" s="29"/>
      <c r="D190" s="29"/>
      <c r="E190" s="29"/>
      <c r="F190" s="28"/>
      <c r="G190" s="29"/>
      <c r="H190" s="29"/>
      <c r="I190" s="28"/>
    </row>
    <row r="191" spans="1:30" ht="12.75" x14ac:dyDescent="0.2">
      <c r="A191" s="28"/>
      <c r="B191" s="29"/>
      <c r="C191" s="29"/>
      <c r="D191" s="29"/>
      <c r="E191" s="29"/>
      <c r="F191" s="28"/>
      <c r="G191" s="29"/>
      <c r="H191" s="29"/>
      <c r="I191" s="28"/>
    </row>
    <row r="192" spans="1:30" ht="12.75" x14ac:dyDescent="0.2">
      <c r="A192" s="28"/>
      <c r="B192" s="29"/>
      <c r="C192" s="29"/>
      <c r="D192" s="29"/>
      <c r="E192" s="29"/>
      <c r="F192" s="28"/>
      <c r="G192" s="29"/>
      <c r="H192" s="29"/>
      <c r="I192" s="28"/>
    </row>
    <row r="193" spans="1:9" ht="12.75" x14ac:dyDescent="0.2">
      <c r="A193" s="28"/>
      <c r="B193" s="29"/>
      <c r="C193" s="29"/>
      <c r="D193" s="29"/>
      <c r="E193" s="29"/>
      <c r="F193" s="28"/>
      <c r="G193" s="29"/>
      <c r="H193" s="29"/>
      <c r="I193" s="28"/>
    </row>
    <row r="194" spans="1:9" ht="12.75" x14ac:dyDescent="0.2">
      <c r="A194" s="28"/>
      <c r="B194" s="29"/>
      <c r="C194" s="29"/>
      <c r="D194" s="29"/>
      <c r="E194" s="29"/>
      <c r="F194" s="28"/>
      <c r="G194" s="29"/>
      <c r="H194" s="29"/>
      <c r="I194" s="28"/>
    </row>
    <row r="195" spans="1:9" ht="12.75" x14ac:dyDescent="0.2">
      <c r="A195" s="28"/>
      <c r="B195" s="29"/>
      <c r="C195" s="29"/>
      <c r="D195" s="29"/>
      <c r="E195" s="29"/>
      <c r="F195" s="28"/>
      <c r="G195" s="29"/>
      <c r="H195" s="29"/>
      <c r="I195" s="28"/>
    </row>
    <row r="196" spans="1:9" ht="12.75" x14ac:dyDescent="0.2">
      <c r="A196" s="28"/>
      <c r="B196" s="29"/>
      <c r="C196" s="29"/>
      <c r="D196" s="29"/>
      <c r="E196" s="29"/>
      <c r="F196" s="28"/>
      <c r="G196" s="29"/>
      <c r="H196" s="29"/>
      <c r="I196" s="28"/>
    </row>
    <row r="197" spans="1:9" ht="12.75" x14ac:dyDescent="0.2">
      <c r="A197" s="28"/>
      <c r="B197" s="29"/>
      <c r="C197" s="29"/>
      <c r="D197" s="29"/>
      <c r="E197" s="29"/>
      <c r="F197" s="28"/>
      <c r="G197" s="29"/>
      <c r="H197" s="29"/>
      <c r="I197" s="28"/>
    </row>
    <row r="198" spans="1:9" ht="12.75" x14ac:dyDescent="0.2">
      <c r="A198" s="28"/>
      <c r="B198" s="29"/>
      <c r="C198" s="29"/>
      <c r="D198" s="29"/>
      <c r="E198" s="29"/>
      <c r="F198" s="28"/>
      <c r="G198" s="29"/>
      <c r="H198" s="29"/>
      <c r="I198" s="28"/>
    </row>
    <row r="199" spans="1:9" ht="12.75" x14ac:dyDescent="0.2">
      <c r="A199" s="28"/>
      <c r="B199" s="29"/>
      <c r="C199" s="29"/>
      <c r="D199" s="29"/>
      <c r="E199" s="29"/>
      <c r="F199" s="28"/>
      <c r="G199" s="29"/>
      <c r="H199" s="29"/>
      <c r="I199" s="28"/>
    </row>
    <row r="200" spans="1:9" ht="12.75" x14ac:dyDescent="0.2">
      <c r="A200" s="28"/>
      <c r="B200" s="29"/>
      <c r="C200" s="29"/>
      <c r="D200" s="29"/>
      <c r="E200" s="29"/>
      <c r="F200" s="28"/>
      <c r="G200" s="29"/>
      <c r="H200" s="29"/>
      <c r="I200" s="28"/>
    </row>
    <row r="201" spans="1:9" ht="12.75" x14ac:dyDescent="0.2">
      <c r="A201" s="28"/>
      <c r="B201" s="29"/>
      <c r="C201" s="29"/>
      <c r="D201" s="29"/>
      <c r="E201" s="29"/>
      <c r="F201" s="28"/>
      <c r="G201" s="29"/>
      <c r="H201" s="29"/>
      <c r="I201" s="28"/>
    </row>
    <row r="202" spans="1:9" ht="12.75" x14ac:dyDescent="0.2">
      <c r="A202" s="28"/>
      <c r="B202" s="29"/>
      <c r="C202" s="29"/>
      <c r="D202" s="29"/>
      <c r="E202" s="29"/>
      <c r="F202" s="28"/>
      <c r="G202" s="29"/>
      <c r="H202" s="29"/>
      <c r="I202" s="28"/>
    </row>
    <row r="203" spans="1:9" ht="12.75" x14ac:dyDescent="0.2">
      <c r="A203" s="28"/>
      <c r="B203" s="29"/>
      <c r="C203" s="29"/>
      <c r="D203" s="29"/>
      <c r="E203" s="29"/>
      <c r="F203" s="28"/>
      <c r="G203" s="29"/>
      <c r="H203" s="29"/>
      <c r="I203" s="28"/>
    </row>
    <row r="204" spans="1:9" ht="12.75" x14ac:dyDescent="0.2">
      <c r="A204" s="28"/>
      <c r="B204" s="29"/>
      <c r="C204" s="29"/>
      <c r="D204" s="29"/>
      <c r="E204" s="29"/>
      <c r="F204" s="28"/>
      <c r="G204" s="29"/>
      <c r="H204" s="29"/>
      <c r="I204" s="28"/>
    </row>
    <row r="205" spans="1:9" ht="12.75" x14ac:dyDescent="0.2">
      <c r="A205" s="28"/>
      <c r="B205" s="29"/>
      <c r="C205" s="29"/>
      <c r="D205" s="29"/>
      <c r="E205" s="29"/>
      <c r="F205" s="28"/>
      <c r="G205" s="29"/>
      <c r="H205" s="29"/>
      <c r="I205" s="28"/>
    </row>
    <row r="206" spans="1:9" ht="12.75" x14ac:dyDescent="0.2">
      <c r="A206" s="28"/>
      <c r="B206" s="29"/>
      <c r="C206" s="29"/>
      <c r="D206" s="29"/>
      <c r="E206" s="29"/>
      <c r="F206" s="28"/>
      <c r="G206" s="29"/>
      <c r="H206" s="29"/>
      <c r="I206" s="28"/>
    </row>
    <row r="207" spans="1:9" ht="12.75" x14ac:dyDescent="0.2">
      <c r="A207" s="28"/>
      <c r="B207" s="29"/>
      <c r="C207" s="29"/>
      <c r="D207" s="29"/>
      <c r="E207" s="29"/>
      <c r="F207" s="28"/>
      <c r="G207" s="29"/>
      <c r="H207" s="29"/>
      <c r="I207" s="28"/>
    </row>
    <row r="208" spans="1:9" ht="12.75" x14ac:dyDescent="0.2">
      <c r="A208" s="28"/>
      <c r="B208" s="29"/>
      <c r="C208" s="29"/>
      <c r="D208" s="29"/>
      <c r="E208" s="29"/>
      <c r="F208" s="28"/>
      <c r="G208" s="29"/>
      <c r="H208" s="29"/>
      <c r="I208" s="28"/>
    </row>
    <row r="209" spans="1:9" ht="12.75" x14ac:dyDescent="0.2">
      <c r="A209" s="28"/>
      <c r="B209" s="29"/>
      <c r="C209" s="29"/>
      <c r="D209" s="29"/>
      <c r="E209" s="29"/>
      <c r="F209" s="28"/>
      <c r="G209" s="29"/>
      <c r="H209" s="29"/>
      <c r="I209" s="28"/>
    </row>
    <row r="210" spans="1:9" ht="12.75" x14ac:dyDescent="0.2">
      <c r="A210" s="28"/>
      <c r="B210" s="29"/>
      <c r="C210" s="29"/>
      <c r="D210" s="29"/>
      <c r="E210" s="29"/>
      <c r="F210" s="28"/>
      <c r="G210" s="29"/>
      <c r="H210" s="29"/>
      <c r="I210" s="28"/>
    </row>
    <row r="211" spans="1:9" ht="12.75" x14ac:dyDescent="0.2">
      <c r="A211" s="28"/>
      <c r="B211" s="29"/>
      <c r="C211" s="29"/>
      <c r="D211" s="29"/>
      <c r="E211" s="29"/>
      <c r="F211" s="28"/>
      <c r="G211" s="29"/>
      <c r="H211" s="29"/>
      <c r="I211" s="28"/>
    </row>
    <row r="212" spans="1:9" ht="12.75" x14ac:dyDescent="0.2">
      <c r="A212" s="28"/>
      <c r="B212" s="29"/>
      <c r="C212" s="29"/>
      <c r="D212" s="29"/>
      <c r="E212" s="29"/>
      <c r="F212" s="28"/>
      <c r="G212" s="29"/>
      <c r="H212" s="29"/>
      <c r="I212" s="28"/>
    </row>
    <row r="213" spans="1:9" ht="12.75" x14ac:dyDescent="0.2">
      <c r="A213" s="28"/>
      <c r="B213" s="29"/>
      <c r="C213" s="29"/>
      <c r="D213" s="29"/>
      <c r="E213" s="29"/>
      <c r="F213" s="28"/>
      <c r="G213" s="29"/>
      <c r="H213" s="29"/>
      <c r="I213" s="28"/>
    </row>
    <row r="214" spans="1:9" ht="12.75" x14ac:dyDescent="0.2">
      <c r="A214" s="28"/>
      <c r="B214" s="29"/>
      <c r="C214" s="29"/>
      <c r="D214" s="29"/>
      <c r="E214" s="29"/>
      <c r="F214" s="28"/>
      <c r="G214" s="29"/>
      <c r="H214" s="29"/>
      <c r="I214" s="28"/>
    </row>
    <row r="215" spans="1:9" ht="12.75" x14ac:dyDescent="0.2">
      <c r="A215" s="28"/>
      <c r="B215" s="29"/>
      <c r="C215" s="29"/>
      <c r="D215" s="29"/>
      <c r="E215" s="29"/>
      <c r="F215" s="28"/>
      <c r="G215" s="29"/>
      <c r="H215" s="29"/>
      <c r="I215" s="28"/>
    </row>
    <row r="216" spans="1:9" ht="12.75" x14ac:dyDescent="0.2">
      <c r="A216" s="28"/>
      <c r="B216" s="29"/>
      <c r="C216" s="29"/>
      <c r="D216" s="29"/>
      <c r="E216" s="29"/>
      <c r="F216" s="28"/>
      <c r="G216" s="29"/>
      <c r="H216" s="29"/>
      <c r="I216" s="28"/>
    </row>
    <row r="217" spans="1:9" ht="12.75" x14ac:dyDescent="0.2">
      <c r="A217" s="28"/>
      <c r="B217" s="29"/>
      <c r="C217" s="29"/>
      <c r="D217" s="29"/>
      <c r="E217" s="29"/>
      <c r="F217" s="28"/>
      <c r="G217" s="29"/>
      <c r="H217" s="29"/>
      <c r="I217" s="28"/>
    </row>
    <row r="218" spans="1:9" ht="12.75" x14ac:dyDescent="0.2">
      <c r="A218" s="28"/>
      <c r="B218" s="29"/>
      <c r="C218" s="29"/>
      <c r="D218" s="29"/>
      <c r="E218" s="29"/>
      <c r="F218" s="28"/>
      <c r="G218" s="29"/>
      <c r="H218" s="29"/>
      <c r="I218" s="28"/>
    </row>
    <row r="219" spans="1:9" ht="12.75" x14ac:dyDescent="0.2">
      <c r="A219" s="28"/>
      <c r="B219" s="29"/>
      <c r="C219" s="29"/>
      <c r="D219" s="29"/>
      <c r="E219" s="29"/>
      <c r="F219" s="28"/>
      <c r="G219" s="29"/>
      <c r="H219" s="29"/>
      <c r="I219" s="28"/>
    </row>
    <row r="220" spans="1:9" ht="12.75" x14ac:dyDescent="0.2">
      <c r="A220" s="28"/>
      <c r="B220" s="29"/>
      <c r="C220" s="29"/>
      <c r="D220" s="29"/>
      <c r="E220" s="29"/>
      <c r="F220" s="28"/>
      <c r="G220" s="29"/>
      <c r="H220" s="29"/>
      <c r="I220" s="28"/>
    </row>
    <row r="221" spans="1:9" ht="12.75" x14ac:dyDescent="0.2">
      <c r="A221" s="28"/>
      <c r="B221" s="29"/>
      <c r="C221" s="29"/>
      <c r="D221" s="29"/>
      <c r="E221" s="29"/>
      <c r="F221" s="28"/>
      <c r="G221" s="29"/>
      <c r="H221" s="29"/>
      <c r="I221" s="28"/>
    </row>
    <row r="222" spans="1:9" ht="12.75" x14ac:dyDescent="0.2">
      <c r="A222" s="28"/>
      <c r="B222" s="29"/>
      <c r="C222" s="29"/>
      <c r="D222" s="29"/>
      <c r="E222" s="29"/>
      <c r="F222" s="28"/>
      <c r="G222" s="29"/>
      <c r="H222" s="29"/>
      <c r="I222" s="28"/>
    </row>
    <row r="223" spans="1:9" ht="12.75" x14ac:dyDescent="0.2">
      <c r="A223" s="28"/>
      <c r="B223" s="29"/>
      <c r="C223" s="29"/>
      <c r="D223" s="29"/>
      <c r="E223" s="29"/>
      <c r="F223" s="28"/>
      <c r="G223" s="29"/>
      <c r="H223" s="29"/>
      <c r="I223" s="28"/>
    </row>
    <row r="224" spans="1:9" ht="12.75" x14ac:dyDescent="0.2">
      <c r="A224" s="28"/>
      <c r="B224" s="29"/>
      <c r="C224" s="29"/>
      <c r="D224" s="29"/>
      <c r="E224" s="29"/>
      <c r="F224" s="28"/>
      <c r="G224" s="29"/>
      <c r="H224" s="29"/>
      <c r="I224" s="28"/>
    </row>
    <row r="225" spans="1:9" ht="12.75" x14ac:dyDescent="0.2">
      <c r="A225" s="28"/>
      <c r="B225" s="29"/>
      <c r="C225" s="29"/>
      <c r="D225" s="29"/>
      <c r="E225" s="29"/>
      <c r="F225" s="28"/>
      <c r="G225" s="29"/>
      <c r="H225" s="29"/>
      <c r="I225" s="28"/>
    </row>
    <row r="226" spans="1:9" ht="12.75" x14ac:dyDescent="0.2">
      <c r="A226" s="28"/>
      <c r="B226" s="29"/>
      <c r="C226" s="29"/>
      <c r="D226" s="29"/>
      <c r="E226" s="29"/>
      <c r="F226" s="28"/>
      <c r="G226" s="29"/>
      <c r="H226" s="29"/>
      <c r="I226" s="28"/>
    </row>
    <row r="227" spans="1:9" ht="12.75" x14ac:dyDescent="0.2">
      <c r="A227" s="28"/>
      <c r="B227" s="29"/>
      <c r="C227" s="29"/>
      <c r="D227" s="29"/>
      <c r="E227" s="29"/>
      <c r="F227" s="28"/>
      <c r="G227" s="29"/>
      <c r="H227" s="29"/>
      <c r="I227" s="28"/>
    </row>
    <row r="228" spans="1:9" ht="12.75" x14ac:dyDescent="0.2">
      <c r="A228" s="28"/>
      <c r="B228" s="29"/>
      <c r="C228" s="29"/>
      <c r="D228" s="29"/>
      <c r="E228" s="29"/>
      <c r="F228" s="28"/>
      <c r="G228" s="29"/>
      <c r="H228" s="29"/>
      <c r="I228" s="28"/>
    </row>
    <row r="229" spans="1:9" ht="12.75" x14ac:dyDescent="0.2">
      <c r="A229" s="28"/>
      <c r="B229" s="29"/>
      <c r="C229" s="29"/>
      <c r="D229" s="29"/>
      <c r="E229" s="29"/>
      <c r="F229" s="28"/>
      <c r="G229" s="29"/>
      <c r="H229" s="29"/>
      <c r="I229" s="28"/>
    </row>
    <row r="230" spans="1:9" ht="12.75" x14ac:dyDescent="0.2">
      <c r="A230" s="28"/>
      <c r="B230" s="29"/>
      <c r="C230" s="29"/>
      <c r="D230" s="29"/>
      <c r="E230" s="29"/>
      <c r="F230" s="28"/>
      <c r="G230" s="29"/>
      <c r="H230" s="29"/>
      <c r="I230" s="28"/>
    </row>
    <row r="231" spans="1:9" ht="12.75" x14ac:dyDescent="0.2">
      <c r="A231" s="28"/>
      <c r="B231" s="29"/>
      <c r="C231" s="29"/>
      <c r="D231" s="29"/>
      <c r="E231" s="29"/>
      <c r="F231" s="28"/>
      <c r="G231" s="29"/>
      <c r="H231" s="29"/>
      <c r="I231" s="28"/>
    </row>
    <row r="232" spans="1:9" ht="12.75" x14ac:dyDescent="0.2">
      <c r="A232" s="28"/>
      <c r="B232" s="29"/>
      <c r="C232" s="29"/>
      <c r="D232" s="29"/>
      <c r="E232" s="29"/>
      <c r="F232" s="28"/>
      <c r="G232" s="29"/>
      <c r="H232" s="29"/>
      <c r="I232" s="28"/>
    </row>
    <row r="233" spans="1:9" ht="12.75" x14ac:dyDescent="0.2">
      <c r="A233" s="28"/>
      <c r="B233" s="29"/>
      <c r="C233" s="29"/>
      <c r="D233" s="29"/>
      <c r="E233" s="29"/>
      <c r="F233" s="28"/>
      <c r="G233" s="29"/>
      <c r="H233" s="29"/>
      <c r="I233" s="28"/>
    </row>
    <row r="234" spans="1:9" ht="12.75" x14ac:dyDescent="0.2">
      <c r="A234" s="28"/>
      <c r="B234" s="29"/>
      <c r="C234" s="29"/>
      <c r="D234" s="29"/>
      <c r="E234" s="29"/>
      <c r="F234" s="28"/>
      <c r="G234" s="29"/>
      <c r="H234" s="29"/>
      <c r="I234" s="28"/>
    </row>
    <row r="235" spans="1:9" ht="12.75" x14ac:dyDescent="0.2">
      <c r="A235" s="28"/>
      <c r="B235" s="29"/>
      <c r="C235" s="29"/>
      <c r="D235" s="29"/>
      <c r="E235" s="29"/>
      <c r="F235" s="28"/>
      <c r="G235" s="29"/>
      <c r="H235" s="29"/>
      <c r="I235" s="28"/>
    </row>
    <row r="236" spans="1:9" ht="12.75" x14ac:dyDescent="0.2">
      <c r="A236" s="28"/>
      <c r="B236" s="29"/>
      <c r="C236" s="29"/>
      <c r="D236" s="29"/>
      <c r="E236" s="29"/>
      <c r="F236" s="28"/>
      <c r="G236" s="29"/>
      <c r="H236" s="29"/>
      <c r="I236" s="28"/>
    </row>
    <row r="237" spans="1:9" ht="12.75" x14ac:dyDescent="0.2">
      <c r="A237" s="28"/>
      <c r="B237" s="29"/>
      <c r="C237" s="29"/>
      <c r="D237" s="29"/>
      <c r="E237" s="29"/>
      <c r="F237" s="28"/>
      <c r="G237" s="29"/>
      <c r="H237" s="29"/>
      <c r="I237" s="28"/>
    </row>
    <row r="238" spans="1:9" ht="12.75" x14ac:dyDescent="0.2">
      <c r="A238" s="28"/>
      <c r="B238" s="29"/>
      <c r="C238" s="29"/>
      <c r="D238" s="29"/>
      <c r="E238" s="29"/>
      <c r="F238" s="28"/>
      <c r="G238" s="29"/>
      <c r="H238" s="29"/>
      <c r="I238" s="28"/>
    </row>
    <row r="239" spans="1:9" ht="12.75" x14ac:dyDescent="0.2">
      <c r="A239" s="28"/>
      <c r="B239" s="29"/>
      <c r="C239" s="29"/>
      <c r="D239" s="29"/>
      <c r="E239" s="29"/>
      <c r="F239" s="28"/>
      <c r="G239" s="29"/>
      <c r="H239" s="29"/>
      <c r="I239" s="28"/>
    </row>
    <row r="240" spans="1:9" ht="12.75" x14ac:dyDescent="0.2">
      <c r="A240" s="28"/>
      <c r="B240" s="29"/>
      <c r="C240" s="29"/>
      <c r="D240" s="29"/>
      <c r="E240" s="29"/>
      <c r="F240" s="28"/>
      <c r="G240" s="29"/>
      <c r="H240" s="29"/>
      <c r="I240" s="28"/>
    </row>
    <row r="241" spans="1:9" ht="12.75" x14ac:dyDescent="0.2">
      <c r="A241" s="28"/>
      <c r="B241" s="29"/>
      <c r="C241" s="29"/>
      <c r="D241" s="29"/>
      <c r="E241" s="29"/>
      <c r="F241" s="28"/>
      <c r="G241" s="29"/>
      <c r="H241" s="29"/>
      <c r="I241" s="28"/>
    </row>
    <row r="242" spans="1:9" ht="12.75" x14ac:dyDescent="0.2">
      <c r="A242" s="28"/>
      <c r="B242" s="29"/>
      <c r="C242" s="29"/>
      <c r="D242" s="29"/>
      <c r="E242" s="29"/>
      <c r="F242" s="28"/>
      <c r="G242" s="29"/>
      <c r="H242" s="29"/>
      <c r="I242" s="28"/>
    </row>
    <row r="243" spans="1:9" ht="12.75" x14ac:dyDescent="0.2">
      <c r="A243" s="28"/>
      <c r="B243" s="29"/>
      <c r="C243" s="29"/>
      <c r="D243" s="29"/>
      <c r="E243" s="29"/>
      <c r="F243" s="28"/>
      <c r="G243" s="29"/>
      <c r="H243" s="29"/>
      <c r="I243" s="28"/>
    </row>
    <row r="244" spans="1:9" ht="12.75" x14ac:dyDescent="0.2">
      <c r="A244" s="28"/>
      <c r="B244" s="29"/>
      <c r="C244" s="29"/>
      <c r="D244" s="29"/>
      <c r="E244" s="29"/>
      <c r="F244" s="28"/>
      <c r="G244" s="29"/>
      <c r="H244" s="29"/>
      <c r="I244" s="28"/>
    </row>
    <row r="245" spans="1:9" ht="12.75" x14ac:dyDescent="0.2">
      <c r="A245" s="28"/>
      <c r="B245" s="29"/>
      <c r="C245" s="29"/>
      <c r="D245" s="29"/>
      <c r="E245" s="29"/>
      <c r="F245" s="28"/>
      <c r="G245" s="29"/>
      <c r="H245" s="29"/>
      <c r="I245" s="28"/>
    </row>
    <row r="246" spans="1:9" ht="12.75" x14ac:dyDescent="0.2">
      <c r="A246" s="28"/>
      <c r="B246" s="29"/>
      <c r="C246" s="29"/>
      <c r="D246" s="29"/>
      <c r="E246" s="29"/>
      <c r="F246" s="28"/>
      <c r="G246" s="29"/>
      <c r="H246" s="29"/>
      <c r="I246" s="28"/>
    </row>
    <row r="247" spans="1:9" ht="12.75" x14ac:dyDescent="0.2">
      <c r="A247" s="28"/>
      <c r="B247" s="29"/>
      <c r="C247" s="29"/>
      <c r="D247" s="29"/>
      <c r="E247" s="29"/>
      <c r="F247" s="28"/>
      <c r="G247" s="29"/>
      <c r="H247" s="29"/>
      <c r="I247" s="28"/>
    </row>
    <row r="248" spans="1:9" ht="12.75" x14ac:dyDescent="0.2">
      <c r="A248" s="28"/>
      <c r="B248" s="29"/>
      <c r="C248" s="29"/>
      <c r="D248" s="29"/>
      <c r="E248" s="29"/>
      <c r="F248" s="28"/>
      <c r="G248" s="29"/>
      <c r="H248" s="29"/>
      <c r="I248" s="28"/>
    </row>
    <row r="249" spans="1:9" ht="12.75" x14ac:dyDescent="0.2">
      <c r="A249" s="28"/>
      <c r="B249" s="29"/>
      <c r="C249" s="29"/>
      <c r="D249" s="29"/>
      <c r="E249" s="29"/>
      <c r="F249" s="28"/>
      <c r="G249" s="29"/>
      <c r="H249" s="29"/>
      <c r="I249" s="28"/>
    </row>
    <row r="250" spans="1:9" ht="12.75" x14ac:dyDescent="0.2">
      <c r="A250" s="28"/>
      <c r="B250" s="29"/>
      <c r="C250" s="29"/>
      <c r="D250" s="29"/>
      <c r="E250" s="29"/>
      <c r="F250" s="28"/>
      <c r="G250" s="29"/>
      <c r="H250" s="29"/>
      <c r="I250" s="28"/>
    </row>
    <row r="251" spans="1:9" ht="12.75" x14ac:dyDescent="0.2">
      <c r="A251" s="28"/>
      <c r="B251" s="29"/>
      <c r="C251" s="29"/>
      <c r="D251" s="29"/>
      <c r="E251" s="29"/>
      <c r="F251" s="28"/>
      <c r="G251" s="29"/>
      <c r="H251" s="29"/>
      <c r="I251" s="28"/>
    </row>
    <row r="252" spans="1:9" ht="12.75" x14ac:dyDescent="0.2">
      <c r="A252" s="28"/>
      <c r="B252" s="29"/>
      <c r="C252" s="29"/>
      <c r="D252" s="29"/>
      <c r="E252" s="29"/>
      <c r="F252" s="28"/>
      <c r="G252" s="29"/>
      <c r="H252" s="29"/>
      <c r="I252" s="28"/>
    </row>
    <row r="253" spans="1:9" ht="12.75" x14ac:dyDescent="0.2">
      <c r="A253" s="28"/>
      <c r="B253" s="29"/>
      <c r="C253" s="29"/>
      <c r="D253" s="29"/>
      <c r="E253" s="29"/>
      <c r="F253" s="28"/>
      <c r="G253" s="29"/>
      <c r="H253" s="29"/>
      <c r="I253" s="28"/>
    </row>
    <row r="254" spans="1:9" ht="12.75" x14ac:dyDescent="0.2">
      <c r="A254" s="28"/>
      <c r="B254" s="29"/>
      <c r="C254" s="29"/>
      <c r="D254" s="29"/>
      <c r="E254" s="29"/>
      <c r="F254" s="28"/>
      <c r="G254" s="29"/>
      <c r="H254" s="29"/>
      <c r="I254" s="28"/>
    </row>
    <row r="255" spans="1:9" ht="12.75" x14ac:dyDescent="0.2">
      <c r="A255" s="28"/>
      <c r="B255" s="29"/>
      <c r="C255" s="29"/>
      <c r="D255" s="29"/>
      <c r="E255" s="29"/>
      <c r="F255" s="28"/>
      <c r="G255" s="29"/>
      <c r="H255" s="29"/>
      <c r="I255" s="28"/>
    </row>
    <row r="256" spans="1:9" ht="12.75" x14ac:dyDescent="0.2">
      <c r="A256" s="28"/>
      <c r="B256" s="29"/>
      <c r="C256" s="29"/>
      <c r="D256" s="29"/>
      <c r="E256" s="29"/>
      <c r="F256" s="28"/>
      <c r="G256" s="29"/>
      <c r="H256" s="29"/>
      <c r="I256" s="28"/>
    </row>
    <row r="257" spans="1:9" ht="12.75" x14ac:dyDescent="0.2">
      <c r="A257" s="28"/>
      <c r="B257" s="29"/>
      <c r="C257" s="29"/>
      <c r="D257" s="29"/>
      <c r="E257" s="29"/>
      <c r="F257" s="28"/>
      <c r="G257" s="29"/>
      <c r="H257" s="29"/>
      <c r="I257" s="28"/>
    </row>
    <row r="258" spans="1:9" ht="12.75" x14ac:dyDescent="0.2">
      <c r="A258" s="28"/>
      <c r="B258" s="29"/>
      <c r="C258" s="29"/>
      <c r="D258" s="29"/>
      <c r="E258" s="29"/>
      <c r="F258" s="28"/>
      <c r="G258" s="29"/>
      <c r="H258" s="29"/>
      <c r="I258" s="28"/>
    </row>
    <row r="259" spans="1:9" ht="12.75" x14ac:dyDescent="0.2">
      <c r="A259" s="28"/>
      <c r="B259" s="29"/>
      <c r="C259" s="29"/>
      <c r="D259" s="29"/>
      <c r="E259" s="29"/>
      <c r="F259" s="28"/>
      <c r="G259" s="29"/>
      <c r="H259" s="29"/>
      <c r="I259" s="28"/>
    </row>
    <row r="260" spans="1:9" ht="12.75" x14ac:dyDescent="0.2">
      <c r="A260" s="28"/>
      <c r="B260" s="29"/>
      <c r="C260" s="29"/>
      <c r="D260" s="29"/>
      <c r="E260" s="29"/>
      <c r="F260" s="28"/>
      <c r="G260" s="29"/>
      <c r="H260" s="29"/>
      <c r="I260" s="28"/>
    </row>
    <row r="261" spans="1:9" ht="12.75" x14ac:dyDescent="0.2">
      <c r="A261" s="28"/>
      <c r="B261" s="29"/>
      <c r="C261" s="29"/>
      <c r="D261" s="29"/>
      <c r="E261" s="29"/>
      <c r="F261" s="28"/>
      <c r="G261" s="29"/>
      <c r="H261" s="29"/>
      <c r="I261" s="28"/>
    </row>
    <row r="262" spans="1:9" ht="12.75" x14ac:dyDescent="0.2">
      <c r="A262" s="28"/>
      <c r="B262" s="29"/>
      <c r="C262" s="29"/>
      <c r="D262" s="29"/>
      <c r="E262" s="29"/>
      <c r="F262" s="28"/>
      <c r="G262" s="29"/>
      <c r="H262" s="29"/>
      <c r="I262" s="28"/>
    </row>
    <row r="263" spans="1:9" ht="12.75" x14ac:dyDescent="0.2">
      <c r="A263" s="28"/>
      <c r="B263" s="29"/>
      <c r="C263" s="29"/>
      <c r="D263" s="29"/>
      <c r="E263" s="29"/>
      <c r="F263" s="28"/>
      <c r="G263" s="29"/>
      <c r="H263" s="29"/>
      <c r="I263" s="28"/>
    </row>
    <row r="264" spans="1:9" ht="12.75" x14ac:dyDescent="0.2">
      <c r="A264" s="28"/>
      <c r="B264" s="29"/>
      <c r="C264" s="29"/>
      <c r="D264" s="29"/>
      <c r="E264" s="29"/>
      <c r="F264" s="28"/>
      <c r="G264" s="29"/>
      <c r="H264" s="29"/>
      <c r="I264" s="28"/>
    </row>
    <row r="265" spans="1:9" ht="12.75" x14ac:dyDescent="0.2">
      <c r="A265" s="28"/>
      <c r="B265" s="29"/>
      <c r="C265" s="29"/>
      <c r="D265" s="29"/>
      <c r="E265" s="29"/>
      <c r="F265" s="28"/>
      <c r="G265" s="29"/>
      <c r="H265" s="29"/>
      <c r="I265" s="28"/>
    </row>
    <row r="266" spans="1:9" ht="12.75" x14ac:dyDescent="0.2">
      <c r="A266" s="28"/>
      <c r="B266" s="29"/>
      <c r="C266" s="29"/>
      <c r="D266" s="29"/>
      <c r="E266" s="29"/>
      <c r="F266" s="28"/>
      <c r="G266" s="29"/>
      <c r="H266" s="29"/>
      <c r="I266" s="28"/>
    </row>
    <row r="267" spans="1:9" ht="12.75" x14ac:dyDescent="0.2">
      <c r="A267" s="28"/>
      <c r="B267" s="29"/>
      <c r="C267" s="29"/>
      <c r="D267" s="29"/>
      <c r="E267" s="29"/>
      <c r="F267" s="28"/>
      <c r="G267" s="29"/>
      <c r="H267" s="29"/>
      <c r="I267" s="28"/>
    </row>
    <row r="268" spans="1:9" ht="12.75" x14ac:dyDescent="0.2">
      <c r="A268" s="28"/>
      <c r="B268" s="29"/>
      <c r="C268" s="29"/>
      <c r="D268" s="29"/>
      <c r="E268" s="29"/>
      <c r="F268" s="28"/>
      <c r="G268" s="29"/>
      <c r="H268" s="29"/>
      <c r="I268" s="28"/>
    </row>
    <row r="269" spans="1:9" ht="12.75" x14ac:dyDescent="0.2">
      <c r="A269" s="28"/>
      <c r="B269" s="29"/>
      <c r="C269" s="29"/>
      <c r="D269" s="29"/>
      <c r="E269" s="29"/>
      <c r="F269" s="28"/>
      <c r="G269" s="29"/>
      <c r="H269" s="29"/>
      <c r="I269" s="28"/>
    </row>
    <row r="270" spans="1:9" ht="12.75" x14ac:dyDescent="0.2">
      <c r="A270" s="28"/>
      <c r="B270" s="29"/>
      <c r="C270" s="29"/>
      <c r="D270" s="29"/>
      <c r="E270" s="29"/>
      <c r="F270" s="28"/>
      <c r="G270" s="29"/>
      <c r="H270" s="29"/>
      <c r="I270" s="28"/>
    </row>
    <row r="271" spans="1:9" ht="12.75" x14ac:dyDescent="0.2">
      <c r="A271" s="28"/>
      <c r="B271" s="29"/>
      <c r="C271" s="29"/>
      <c r="D271" s="29"/>
      <c r="E271" s="29"/>
      <c r="F271" s="28"/>
      <c r="G271" s="29"/>
      <c r="H271" s="29"/>
      <c r="I271" s="28"/>
    </row>
    <row r="272" spans="1:9" ht="12.75" x14ac:dyDescent="0.2">
      <c r="A272" s="28"/>
      <c r="B272" s="29"/>
      <c r="C272" s="29"/>
      <c r="D272" s="29"/>
      <c r="E272" s="29"/>
      <c r="F272" s="28"/>
      <c r="G272" s="29"/>
      <c r="H272" s="29"/>
      <c r="I272" s="28"/>
    </row>
    <row r="273" spans="1:9" ht="12.75" x14ac:dyDescent="0.2">
      <c r="A273" s="28"/>
      <c r="B273" s="29"/>
      <c r="C273" s="29"/>
      <c r="D273" s="29"/>
      <c r="E273" s="29"/>
      <c r="F273" s="28"/>
      <c r="G273" s="29"/>
      <c r="H273" s="29"/>
      <c r="I273" s="28"/>
    </row>
    <row r="274" spans="1:9" ht="12.75" x14ac:dyDescent="0.2">
      <c r="A274" s="28"/>
      <c r="B274" s="29"/>
      <c r="C274" s="29"/>
      <c r="D274" s="29"/>
      <c r="E274" s="29"/>
      <c r="F274" s="28"/>
      <c r="G274" s="29"/>
      <c r="H274" s="29"/>
      <c r="I274" s="28"/>
    </row>
    <row r="275" spans="1:9" ht="12.75" x14ac:dyDescent="0.2">
      <c r="A275" s="28"/>
      <c r="B275" s="29"/>
      <c r="C275" s="29"/>
      <c r="D275" s="29"/>
      <c r="E275" s="29"/>
      <c r="F275" s="28"/>
      <c r="G275" s="29"/>
      <c r="H275" s="29"/>
      <c r="I275" s="28"/>
    </row>
    <row r="276" spans="1:9" ht="12.75" x14ac:dyDescent="0.2">
      <c r="A276" s="28"/>
      <c r="B276" s="29"/>
      <c r="C276" s="29"/>
      <c r="D276" s="29"/>
      <c r="E276" s="29"/>
      <c r="F276" s="28"/>
      <c r="G276" s="29"/>
      <c r="H276" s="29"/>
      <c r="I276" s="28"/>
    </row>
    <row r="277" spans="1:9" ht="12.75" x14ac:dyDescent="0.2">
      <c r="A277" s="28"/>
      <c r="B277" s="29"/>
      <c r="C277" s="29"/>
      <c r="D277" s="29"/>
      <c r="E277" s="29"/>
      <c r="F277" s="28"/>
      <c r="G277" s="29"/>
      <c r="H277" s="29"/>
      <c r="I277" s="28"/>
    </row>
    <row r="278" spans="1:9" ht="12.75" x14ac:dyDescent="0.2">
      <c r="A278" s="28"/>
      <c r="B278" s="29"/>
      <c r="C278" s="29"/>
      <c r="D278" s="29"/>
      <c r="E278" s="29"/>
      <c r="F278" s="28"/>
      <c r="G278" s="29"/>
      <c r="H278" s="29"/>
      <c r="I278" s="28"/>
    </row>
    <row r="279" spans="1:9" ht="12.75" x14ac:dyDescent="0.2">
      <c r="A279" s="28"/>
      <c r="B279" s="29"/>
      <c r="C279" s="29"/>
      <c r="D279" s="29"/>
      <c r="E279" s="29"/>
      <c r="F279" s="28"/>
      <c r="G279" s="29"/>
      <c r="H279" s="29"/>
      <c r="I279" s="28"/>
    </row>
    <row r="280" spans="1:9" ht="12.75" x14ac:dyDescent="0.2">
      <c r="A280" s="28"/>
      <c r="B280" s="29"/>
      <c r="C280" s="29"/>
      <c r="D280" s="29"/>
      <c r="E280" s="29"/>
      <c r="F280" s="28"/>
      <c r="G280" s="29"/>
      <c r="H280" s="29"/>
      <c r="I280" s="28"/>
    </row>
    <row r="281" spans="1:9" ht="12.75" x14ac:dyDescent="0.2">
      <c r="A281" s="28"/>
      <c r="B281" s="29"/>
      <c r="C281" s="29"/>
      <c r="D281" s="29"/>
      <c r="E281" s="29"/>
      <c r="F281" s="28"/>
      <c r="G281" s="29"/>
      <c r="H281" s="29"/>
      <c r="I281" s="28"/>
    </row>
    <row r="282" spans="1:9" ht="12.75" x14ac:dyDescent="0.2">
      <c r="A282" s="28"/>
      <c r="B282" s="29"/>
      <c r="C282" s="29"/>
      <c r="D282" s="29"/>
      <c r="E282" s="29"/>
      <c r="F282" s="28"/>
      <c r="G282" s="29"/>
      <c r="H282" s="29"/>
      <c r="I282" s="28"/>
    </row>
    <row r="283" spans="1:9" ht="12.75" x14ac:dyDescent="0.2">
      <c r="A283" s="28"/>
      <c r="B283" s="29"/>
      <c r="C283" s="29"/>
      <c r="D283" s="29"/>
      <c r="E283" s="29"/>
      <c r="F283" s="28"/>
      <c r="G283" s="29"/>
      <c r="H283" s="29"/>
      <c r="I283" s="28"/>
    </row>
    <row r="284" spans="1:9" ht="12.75" x14ac:dyDescent="0.2">
      <c r="A284" s="28"/>
      <c r="B284" s="29"/>
      <c r="C284" s="29"/>
      <c r="D284" s="29"/>
      <c r="E284" s="29"/>
      <c r="F284" s="28"/>
      <c r="G284" s="29"/>
      <c r="H284" s="29"/>
      <c r="I284" s="28"/>
    </row>
    <row r="285" spans="1:9" ht="12.75" x14ac:dyDescent="0.2">
      <c r="A285" s="28"/>
      <c r="B285" s="29"/>
      <c r="C285" s="29"/>
      <c r="D285" s="29"/>
      <c r="E285" s="29"/>
      <c r="F285" s="28"/>
      <c r="G285" s="29"/>
      <c r="H285" s="29"/>
      <c r="I285" s="28"/>
    </row>
    <row r="286" spans="1:9" ht="12.75" x14ac:dyDescent="0.2">
      <c r="A286" s="28"/>
      <c r="B286" s="29"/>
      <c r="C286" s="29"/>
      <c r="D286" s="29"/>
      <c r="E286" s="29"/>
      <c r="F286" s="28"/>
      <c r="G286" s="29"/>
      <c r="H286" s="29"/>
      <c r="I286" s="28"/>
    </row>
    <row r="287" spans="1:9" ht="12.75" x14ac:dyDescent="0.2">
      <c r="A287" s="28"/>
      <c r="B287" s="29"/>
      <c r="C287" s="29"/>
      <c r="D287" s="29"/>
      <c r="E287" s="29"/>
      <c r="F287" s="28"/>
      <c r="G287" s="29"/>
      <c r="H287" s="29"/>
      <c r="I287" s="28"/>
    </row>
    <row r="288" spans="1:9" ht="12.75" x14ac:dyDescent="0.2">
      <c r="A288" s="28"/>
      <c r="B288" s="29"/>
      <c r="C288" s="29"/>
      <c r="D288" s="29"/>
      <c r="E288" s="29"/>
      <c r="F288" s="28"/>
      <c r="G288" s="29"/>
      <c r="H288" s="29"/>
      <c r="I288" s="28"/>
    </row>
    <row r="289" spans="1:9" ht="12.75" x14ac:dyDescent="0.2">
      <c r="A289" s="28"/>
      <c r="B289" s="29"/>
      <c r="C289" s="29"/>
      <c r="D289" s="29"/>
      <c r="E289" s="29"/>
      <c r="F289" s="28"/>
      <c r="G289" s="29"/>
      <c r="H289" s="29"/>
      <c r="I289" s="28"/>
    </row>
    <row r="290" spans="1:9" ht="12.75" x14ac:dyDescent="0.2">
      <c r="A290" s="28"/>
      <c r="B290" s="29"/>
      <c r="C290" s="29"/>
      <c r="D290" s="29"/>
      <c r="E290" s="29"/>
      <c r="F290" s="28"/>
      <c r="G290" s="29"/>
      <c r="H290" s="29"/>
      <c r="I290" s="28"/>
    </row>
    <row r="291" spans="1:9" ht="12.75" x14ac:dyDescent="0.2">
      <c r="A291" s="28"/>
      <c r="B291" s="29"/>
      <c r="C291" s="29"/>
      <c r="D291" s="29"/>
      <c r="E291" s="29"/>
      <c r="F291" s="28"/>
      <c r="G291" s="29"/>
      <c r="H291" s="29"/>
      <c r="I291" s="28"/>
    </row>
    <row r="292" spans="1:9" ht="12.75" x14ac:dyDescent="0.2">
      <c r="A292" s="28"/>
      <c r="B292" s="29"/>
      <c r="C292" s="29"/>
      <c r="D292" s="29"/>
      <c r="E292" s="29"/>
      <c r="F292" s="28"/>
      <c r="G292" s="29"/>
      <c r="H292" s="29"/>
      <c r="I292" s="28"/>
    </row>
    <row r="293" spans="1:9" ht="12.75" x14ac:dyDescent="0.2">
      <c r="A293" s="28"/>
      <c r="B293" s="29"/>
      <c r="C293" s="29"/>
      <c r="D293" s="29"/>
      <c r="E293" s="29"/>
      <c r="F293" s="28"/>
      <c r="G293" s="29"/>
      <c r="H293" s="29"/>
      <c r="I293" s="28"/>
    </row>
    <row r="294" spans="1:9" ht="12.75" x14ac:dyDescent="0.2">
      <c r="A294" s="28"/>
      <c r="B294" s="29"/>
      <c r="C294" s="29"/>
      <c r="D294" s="29"/>
      <c r="E294" s="29"/>
      <c r="F294" s="28"/>
      <c r="G294" s="29"/>
      <c r="H294" s="29"/>
      <c r="I294" s="28"/>
    </row>
    <row r="295" spans="1:9" ht="12.75" x14ac:dyDescent="0.2">
      <c r="A295" s="28"/>
      <c r="B295" s="29"/>
      <c r="C295" s="29"/>
      <c r="D295" s="29"/>
      <c r="E295" s="29"/>
      <c r="F295" s="28"/>
      <c r="G295" s="29"/>
      <c r="H295" s="29"/>
      <c r="I295" s="28"/>
    </row>
    <row r="296" spans="1:9" ht="12.75" x14ac:dyDescent="0.2">
      <c r="A296" s="28"/>
      <c r="B296" s="29"/>
      <c r="C296" s="29"/>
      <c r="D296" s="29"/>
      <c r="E296" s="29"/>
      <c r="F296" s="28"/>
      <c r="G296" s="29"/>
      <c r="H296" s="29"/>
      <c r="I296" s="28"/>
    </row>
    <row r="297" spans="1:9" ht="12.75" x14ac:dyDescent="0.2">
      <c r="A297" s="28"/>
      <c r="B297" s="29"/>
      <c r="C297" s="29"/>
      <c r="D297" s="29"/>
      <c r="E297" s="29"/>
      <c r="F297" s="28"/>
      <c r="G297" s="29"/>
      <c r="H297" s="29"/>
      <c r="I297" s="28"/>
    </row>
    <row r="298" spans="1:9" ht="12.75" x14ac:dyDescent="0.2">
      <c r="A298" s="28"/>
      <c r="B298" s="29"/>
      <c r="C298" s="29"/>
      <c r="D298" s="29"/>
      <c r="E298" s="29"/>
      <c r="F298" s="28"/>
      <c r="G298" s="29"/>
      <c r="H298" s="29"/>
      <c r="I298" s="28"/>
    </row>
    <row r="299" spans="1:9" ht="12.75" x14ac:dyDescent="0.2">
      <c r="A299" s="28"/>
      <c r="B299" s="29"/>
      <c r="C299" s="29"/>
      <c r="D299" s="29"/>
      <c r="E299" s="29"/>
      <c r="F299" s="28"/>
      <c r="G299" s="29"/>
      <c r="H299" s="29"/>
      <c r="I299" s="28"/>
    </row>
    <row r="300" spans="1:9" ht="12.75" x14ac:dyDescent="0.2">
      <c r="A300" s="28"/>
      <c r="B300" s="29"/>
      <c r="C300" s="29"/>
      <c r="D300" s="29"/>
      <c r="E300" s="29"/>
      <c r="F300" s="28"/>
      <c r="G300" s="29"/>
      <c r="H300" s="29"/>
      <c r="I300" s="28"/>
    </row>
    <row r="301" spans="1:9" ht="12.75" x14ac:dyDescent="0.2">
      <c r="A301" s="28"/>
      <c r="B301" s="29"/>
      <c r="C301" s="29"/>
      <c r="D301" s="29"/>
      <c r="E301" s="29"/>
      <c r="F301" s="28"/>
      <c r="G301" s="29"/>
      <c r="H301" s="29"/>
      <c r="I301" s="28"/>
    </row>
    <row r="302" spans="1:9" ht="12.75" x14ac:dyDescent="0.2">
      <c r="A302" s="28"/>
      <c r="B302" s="29"/>
      <c r="C302" s="29"/>
      <c r="D302" s="29"/>
      <c r="E302" s="29"/>
      <c r="F302" s="28"/>
      <c r="G302" s="29"/>
      <c r="H302" s="29"/>
      <c r="I302" s="28"/>
    </row>
    <row r="303" spans="1:9" ht="12.75" x14ac:dyDescent="0.2">
      <c r="A303" s="28"/>
      <c r="B303" s="29"/>
      <c r="C303" s="29"/>
      <c r="D303" s="29"/>
      <c r="E303" s="29"/>
      <c r="F303" s="28"/>
      <c r="G303" s="29"/>
      <c r="H303" s="29"/>
      <c r="I303" s="28"/>
    </row>
    <row r="304" spans="1:9" ht="12.75" x14ac:dyDescent="0.2">
      <c r="A304" s="28"/>
      <c r="B304" s="29"/>
      <c r="C304" s="29"/>
      <c r="D304" s="29"/>
      <c r="E304" s="29"/>
      <c r="F304" s="28"/>
      <c r="G304" s="29"/>
      <c r="H304" s="29"/>
      <c r="I304" s="28"/>
    </row>
    <row r="305" spans="1:9" ht="12.75" x14ac:dyDescent="0.2">
      <c r="A305" s="28"/>
      <c r="B305" s="29"/>
      <c r="C305" s="29"/>
      <c r="D305" s="29"/>
      <c r="E305" s="29"/>
      <c r="F305" s="28"/>
      <c r="G305" s="29"/>
      <c r="H305" s="29"/>
      <c r="I305" s="28"/>
    </row>
    <row r="306" spans="1:9" ht="12.75" x14ac:dyDescent="0.2">
      <c r="A306" s="28"/>
      <c r="B306" s="29"/>
      <c r="C306" s="29"/>
      <c r="D306" s="29"/>
      <c r="E306" s="29"/>
      <c r="F306" s="28"/>
      <c r="G306" s="29"/>
      <c r="H306" s="29"/>
      <c r="I306" s="28"/>
    </row>
    <row r="307" spans="1:9" ht="12.75" x14ac:dyDescent="0.2">
      <c r="A307" s="28"/>
      <c r="B307" s="29"/>
      <c r="C307" s="29"/>
      <c r="D307" s="29"/>
      <c r="E307" s="29"/>
      <c r="F307" s="28"/>
      <c r="G307" s="29"/>
      <c r="H307" s="29"/>
      <c r="I307" s="28"/>
    </row>
    <row r="308" spans="1:9" ht="12.75" x14ac:dyDescent="0.2">
      <c r="A308" s="28"/>
      <c r="B308" s="29"/>
      <c r="C308" s="29"/>
      <c r="D308" s="29"/>
      <c r="E308" s="29"/>
      <c r="F308" s="28"/>
      <c r="G308" s="29"/>
      <c r="H308" s="29"/>
      <c r="I308" s="28"/>
    </row>
    <row r="309" spans="1:9" ht="12.75" x14ac:dyDescent="0.2">
      <c r="A309" s="28"/>
      <c r="B309" s="29"/>
      <c r="C309" s="29"/>
      <c r="D309" s="29"/>
      <c r="E309" s="29"/>
      <c r="F309" s="28"/>
      <c r="G309" s="29"/>
      <c r="H309" s="29"/>
      <c r="I309" s="28"/>
    </row>
    <row r="310" spans="1:9" ht="12.75" x14ac:dyDescent="0.2">
      <c r="A310" s="28"/>
      <c r="B310" s="29"/>
      <c r="C310" s="29"/>
      <c r="D310" s="29"/>
      <c r="E310" s="29"/>
      <c r="F310" s="28"/>
      <c r="G310" s="29"/>
      <c r="H310" s="29"/>
      <c r="I310" s="28"/>
    </row>
    <row r="311" spans="1:9" ht="12.75" x14ac:dyDescent="0.2">
      <c r="A311" s="28"/>
      <c r="B311" s="29"/>
      <c r="C311" s="29"/>
      <c r="D311" s="29"/>
      <c r="E311" s="29"/>
      <c r="F311" s="28"/>
      <c r="G311" s="29"/>
      <c r="H311" s="29"/>
      <c r="I311" s="28"/>
    </row>
    <row r="312" spans="1:9" ht="12.75" x14ac:dyDescent="0.2">
      <c r="A312" s="28"/>
      <c r="B312" s="29"/>
      <c r="C312" s="29"/>
      <c r="D312" s="29"/>
      <c r="E312" s="29"/>
      <c r="F312" s="28"/>
      <c r="G312" s="29"/>
      <c r="H312" s="29"/>
      <c r="I312" s="28"/>
    </row>
    <row r="313" spans="1:9" ht="12.75" x14ac:dyDescent="0.2">
      <c r="A313" s="28"/>
      <c r="B313" s="29"/>
      <c r="C313" s="29"/>
      <c r="D313" s="29"/>
      <c r="E313" s="29"/>
      <c r="F313" s="28"/>
      <c r="G313" s="29"/>
      <c r="H313" s="29"/>
      <c r="I313" s="28"/>
    </row>
    <row r="314" spans="1:9" ht="12.75" x14ac:dyDescent="0.2">
      <c r="A314" s="28"/>
      <c r="B314" s="29"/>
      <c r="C314" s="29"/>
      <c r="D314" s="29"/>
      <c r="E314" s="29"/>
      <c r="F314" s="28"/>
      <c r="G314" s="29"/>
      <c r="H314" s="29"/>
      <c r="I314" s="28"/>
    </row>
    <row r="315" spans="1:9" ht="12.75" x14ac:dyDescent="0.2">
      <c r="A315" s="28"/>
      <c r="B315" s="29"/>
      <c r="C315" s="29"/>
      <c r="D315" s="29"/>
      <c r="E315" s="29"/>
      <c r="F315" s="28"/>
      <c r="G315" s="29"/>
      <c r="H315" s="29"/>
      <c r="I315" s="28"/>
    </row>
    <row r="316" spans="1:9" ht="12.75" x14ac:dyDescent="0.2">
      <c r="A316" s="28"/>
      <c r="B316" s="29"/>
      <c r="C316" s="29"/>
      <c r="D316" s="29"/>
      <c r="E316" s="29"/>
      <c r="F316" s="28"/>
      <c r="G316" s="29"/>
      <c r="H316" s="29"/>
      <c r="I316" s="28"/>
    </row>
    <row r="317" spans="1:9" ht="12.75" x14ac:dyDescent="0.2">
      <c r="A317" s="28"/>
      <c r="B317" s="29"/>
      <c r="C317" s="29"/>
      <c r="D317" s="29"/>
      <c r="E317" s="29"/>
      <c r="F317" s="28"/>
      <c r="G317" s="29"/>
      <c r="H317" s="29"/>
      <c r="I317" s="28"/>
    </row>
    <row r="318" spans="1:9" ht="12.75" x14ac:dyDescent="0.2">
      <c r="A318" s="28"/>
      <c r="B318" s="29"/>
      <c r="C318" s="29"/>
      <c r="D318" s="29"/>
      <c r="E318" s="29"/>
      <c r="F318" s="28"/>
      <c r="G318" s="29"/>
      <c r="H318" s="29"/>
      <c r="I318" s="28"/>
    </row>
    <row r="319" spans="1:9" ht="12.75" x14ac:dyDescent="0.2">
      <c r="A319" s="28"/>
      <c r="B319" s="29"/>
      <c r="C319" s="29"/>
      <c r="D319" s="29"/>
      <c r="E319" s="29"/>
      <c r="F319" s="28"/>
      <c r="G319" s="29"/>
      <c r="H319" s="29"/>
      <c r="I319" s="28"/>
    </row>
    <row r="320" spans="1:9" ht="12.75" x14ac:dyDescent="0.2">
      <c r="A320" s="28"/>
      <c r="B320" s="29"/>
      <c r="C320" s="29"/>
      <c r="D320" s="29"/>
      <c r="E320" s="29"/>
      <c r="F320" s="28"/>
      <c r="G320" s="29"/>
      <c r="H320" s="29"/>
      <c r="I320" s="28"/>
    </row>
    <row r="321" spans="1:9" ht="12.75" x14ac:dyDescent="0.2">
      <c r="A321" s="28"/>
      <c r="B321" s="29"/>
      <c r="C321" s="29"/>
      <c r="D321" s="29"/>
      <c r="E321" s="29"/>
      <c r="F321" s="28"/>
      <c r="G321" s="29"/>
      <c r="H321" s="29"/>
      <c r="I321" s="28"/>
    </row>
    <row r="322" spans="1:9" ht="12.75" x14ac:dyDescent="0.2">
      <c r="A322" s="28"/>
      <c r="B322" s="29"/>
      <c r="C322" s="29"/>
      <c r="D322" s="29"/>
      <c r="E322" s="29"/>
      <c r="F322" s="28"/>
      <c r="G322" s="29"/>
      <c r="H322" s="29"/>
      <c r="I322" s="28"/>
    </row>
    <row r="323" spans="1:9" ht="12.75" x14ac:dyDescent="0.2">
      <c r="A323" s="28"/>
      <c r="B323" s="29"/>
      <c r="C323" s="29"/>
      <c r="D323" s="29"/>
      <c r="E323" s="29"/>
      <c r="F323" s="28"/>
      <c r="G323" s="29"/>
      <c r="H323" s="29"/>
      <c r="I323" s="28"/>
    </row>
    <row r="324" spans="1:9" ht="12.75" x14ac:dyDescent="0.2">
      <c r="A324" s="28"/>
      <c r="B324" s="29"/>
      <c r="C324" s="29"/>
      <c r="D324" s="29"/>
      <c r="E324" s="29"/>
      <c r="F324" s="28"/>
      <c r="G324" s="29"/>
      <c r="H324" s="29"/>
      <c r="I324" s="28"/>
    </row>
    <row r="325" spans="1:9" ht="12.75" x14ac:dyDescent="0.2">
      <c r="A325" s="28"/>
      <c r="B325" s="29"/>
      <c r="C325" s="29"/>
      <c r="D325" s="29"/>
      <c r="E325" s="29"/>
      <c r="F325" s="28"/>
      <c r="G325" s="29"/>
      <c r="H325" s="29"/>
      <c r="I325" s="28"/>
    </row>
    <row r="326" spans="1:9" ht="12.75" x14ac:dyDescent="0.2">
      <c r="A326" s="28"/>
      <c r="B326" s="29"/>
      <c r="C326" s="29"/>
      <c r="D326" s="29"/>
      <c r="E326" s="29"/>
      <c r="F326" s="28"/>
      <c r="G326" s="29"/>
      <c r="H326" s="29"/>
      <c r="I326" s="28"/>
    </row>
    <row r="327" spans="1:9" ht="12.75" x14ac:dyDescent="0.2">
      <c r="A327" s="28"/>
      <c r="B327" s="29"/>
      <c r="C327" s="29"/>
      <c r="D327" s="29"/>
      <c r="E327" s="29"/>
      <c r="F327" s="28"/>
      <c r="G327" s="29"/>
      <c r="H327" s="29"/>
      <c r="I327" s="28"/>
    </row>
    <row r="328" spans="1:9" ht="12.75" x14ac:dyDescent="0.2">
      <c r="A328" s="28"/>
      <c r="B328" s="29"/>
      <c r="C328" s="29"/>
      <c r="D328" s="29"/>
      <c r="E328" s="29"/>
      <c r="F328" s="28"/>
      <c r="G328" s="29"/>
      <c r="H328" s="29"/>
      <c r="I328" s="28"/>
    </row>
    <row r="329" spans="1:9" ht="12.75" x14ac:dyDescent="0.2">
      <c r="A329" s="28"/>
      <c r="B329" s="29"/>
      <c r="C329" s="29"/>
      <c r="D329" s="29"/>
      <c r="E329" s="29"/>
      <c r="F329" s="28"/>
      <c r="G329" s="29"/>
      <c r="H329" s="29"/>
      <c r="I329" s="28"/>
    </row>
    <row r="330" spans="1:9" ht="12.75" x14ac:dyDescent="0.2">
      <c r="A330" s="28"/>
      <c r="B330" s="29"/>
      <c r="C330" s="29"/>
      <c r="D330" s="29"/>
      <c r="E330" s="29"/>
      <c r="F330" s="28"/>
      <c r="G330" s="29"/>
      <c r="H330" s="29"/>
      <c r="I330" s="28"/>
    </row>
    <row r="331" spans="1:9" ht="12.75" x14ac:dyDescent="0.2">
      <c r="A331" s="28"/>
      <c r="B331" s="29"/>
      <c r="C331" s="29"/>
      <c r="D331" s="29"/>
      <c r="E331" s="29"/>
      <c r="F331" s="28"/>
      <c r="G331" s="29"/>
      <c r="H331" s="29"/>
      <c r="I331" s="28"/>
    </row>
    <row r="332" spans="1:9" ht="12.75" x14ac:dyDescent="0.2">
      <c r="A332" s="28"/>
      <c r="B332" s="29"/>
      <c r="C332" s="29"/>
      <c r="D332" s="29"/>
      <c r="E332" s="29"/>
      <c r="F332" s="28"/>
      <c r="G332" s="29"/>
      <c r="H332" s="29"/>
      <c r="I332" s="28"/>
    </row>
    <row r="333" spans="1:9" ht="12.75" x14ac:dyDescent="0.2">
      <c r="A333" s="28"/>
      <c r="B333" s="29"/>
      <c r="C333" s="29"/>
      <c r="D333" s="29"/>
      <c r="E333" s="29"/>
      <c r="F333" s="28"/>
      <c r="G333" s="29"/>
      <c r="H333" s="29"/>
      <c r="I333" s="28"/>
    </row>
    <row r="334" spans="1:9" ht="12.75" x14ac:dyDescent="0.2">
      <c r="A334" s="28"/>
      <c r="B334" s="29"/>
      <c r="C334" s="29"/>
      <c r="D334" s="29"/>
      <c r="E334" s="29"/>
      <c r="F334" s="28"/>
      <c r="G334" s="29"/>
      <c r="H334" s="29"/>
      <c r="I334" s="28"/>
    </row>
    <row r="335" spans="1:9" ht="12.75" x14ac:dyDescent="0.2">
      <c r="A335" s="28"/>
      <c r="B335" s="29"/>
      <c r="C335" s="29"/>
      <c r="D335" s="29"/>
      <c r="E335" s="29"/>
      <c r="F335" s="28"/>
      <c r="G335" s="29"/>
      <c r="H335" s="29"/>
      <c r="I335" s="28"/>
    </row>
    <row r="336" spans="1:9" ht="12.75" x14ac:dyDescent="0.2">
      <c r="A336" s="28"/>
      <c r="B336" s="29"/>
      <c r="C336" s="29"/>
      <c r="D336" s="29"/>
      <c r="E336" s="29"/>
      <c r="F336" s="28"/>
      <c r="G336" s="29"/>
      <c r="H336" s="29"/>
      <c r="I336" s="28"/>
    </row>
    <row r="337" spans="1:9" ht="12.75" x14ac:dyDescent="0.2">
      <c r="A337" s="28"/>
      <c r="B337" s="29"/>
      <c r="C337" s="29"/>
      <c r="D337" s="29"/>
      <c r="E337" s="29"/>
      <c r="F337" s="28"/>
      <c r="G337" s="29"/>
      <c r="H337" s="29"/>
      <c r="I337" s="28"/>
    </row>
    <row r="338" spans="1:9" ht="12.75" x14ac:dyDescent="0.2">
      <c r="A338" s="28"/>
      <c r="B338" s="29"/>
      <c r="C338" s="29"/>
      <c r="D338" s="29"/>
      <c r="E338" s="29"/>
      <c r="F338" s="28"/>
      <c r="G338" s="29"/>
      <c r="H338" s="29"/>
      <c r="I338" s="28"/>
    </row>
    <row r="339" spans="1:9" ht="12.75" x14ac:dyDescent="0.2">
      <c r="A339" s="28"/>
      <c r="B339" s="29"/>
      <c r="C339" s="29"/>
      <c r="D339" s="29"/>
      <c r="E339" s="29"/>
      <c r="F339" s="28"/>
      <c r="G339" s="29"/>
      <c r="H339" s="29"/>
      <c r="I339" s="28"/>
    </row>
    <row r="340" spans="1:9" ht="12.75" x14ac:dyDescent="0.2">
      <c r="A340" s="28"/>
      <c r="B340" s="29"/>
      <c r="C340" s="29"/>
      <c r="D340" s="29"/>
      <c r="E340" s="29"/>
      <c r="F340" s="28"/>
      <c r="G340" s="29"/>
      <c r="H340" s="29"/>
      <c r="I340" s="28"/>
    </row>
    <row r="341" spans="1:9" ht="12.75" x14ac:dyDescent="0.2">
      <c r="A341" s="28"/>
      <c r="B341" s="29"/>
      <c r="C341" s="29"/>
      <c r="D341" s="29"/>
      <c r="E341" s="29"/>
      <c r="F341" s="28"/>
      <c r="G341" s="29"/>
      <c r="H341" s="29"/>
      <c r="I341" s="28"/>
    </row>
    <row r="342" spans="1:9" ht="12.75" x14ac:dyDescent="0.2">
      <c r="A342" s="28"/>
      <c r="B342" s="29"/>
      <c r="C342" s="29"/>
      <c r="D342" s="29"/>
      <c r="E342" s="29"/>
      <c r="F342" s="28"/>
      <c r="G342" s="29"/>
      <c r="H342" s="29"/>
      <c r="I342" s="28"/>
    </row>
    <row r="343" spans="1:9" ht="12.75" x14ac:dyDescent="0.2">
      <c r="A343" s="28"/>
      <c r="B343" s="29"/>
      <c r="C343" s="29"/>
      <c r="D343" s="29"/>
      <c r="E343" s="29"/>
      <c r="F343" s="28"/>
      <c r="G343" s="29"/>
      <c r="H343" s="29"/>
      <c r="I343" s="28"/>
    </row>
    <row r="344" spans="1:9" ht="12.75" x14ac:dyDescent="0.2">
      <c r="A344" s="28"/>
      <c r="B344" s="29"/>
      <c r="C344" s="29"/>
      <c r="D344" s="29"/>
      <c r="E344" s="29"/>
      <c r="F344" s="28"/>
      <c r="G344" s="29"/>
      <c r="H344" s="29"/>
      <c r="I344" s="28"/>
    </row>
    <row r="345" spans="1:9" ht="12.75" x14ac:dyDescent="0.2">
      <c r="A345" s="28"/>
      <c r="B345" s="29"/>
      <c r="C345" s="29"/>
      <c r="D345" s="29"/>
      <c r="E345" s="29"/>
      <c r="F345" s="28"/>
      <c r="G345" s="29"/>
      <c r="H345" s="29"/>
      <c r="I345" s="28"/>
    </row>
    <row r="346" spans="1:9" ht="12.75" x14ac:dyDescent="0.2">
      <c r="A346" s="28"/>
      <c r="B346" s="29"/>
      <c r="C346" s="29"/>
      <c r="D346" s="29"/>
      <c r="E346" s="29"/>
      <c r="F346" s="28"/>
      <c r="G346" s="29"/>
      <c r="H346" s="29"/>
      <c r="I346" s="28"/>
    </row>
    <row r="347" spans="1:9" ht="12.75" x14ac:dyDescent="0.2">
      <c r="A347" s="28"/>
      <c r="B347" s="29"/>
      <c r="C347" s="29"/>
      <c r="D347" s="29"/>
      <c r="E347" s="29"/>
      <c r="F347" s="28"/>
      <c r="G347" s="29"/>
      <c r="H347" s="29"/>
      <c r="I347" s="28"/>
    </row>
    <row r="348" spans="1:9" ht="12.75" x14ac:dyDescent="0.2">
      <c r="A348" s="28"/>
      <c r="B348" s="29"/>
      <c r="C348" s="29"/>
      <c r="D348" s="29"/>
      <c r="E348" s="29"/>
      <c r="F348" s="28"/>
      <c r="G348" s="29"/>
      <c r="H348" s="29"/>
      <c r="I348" s="28"/>
    </row>
    <row r="349" spans="1:9" ht="12.75" x14ac:dyDescent="0.2">
      <c r="A349" s="28"/>
      <c r="B349" s="29"/>
      <c r="C349" s="29"/>
      <c r="D349" s="29"/>
      <c r="E349" s="29"/>
      <c r="F349" s="28"/>
      <c r="G349" s="29"/>
      <c r="H349" s="29"/>
      <c r="I349" s="28"/>
    </row>
    <row r="350" spans="1:9" ht="12.75" x14ac:dyDescent="0.2">
      <c r="A350" s="28"/>
      <c r="B350" s="29"/>
      <c r="C350" s="29"/>
      <c r="D350" s="29"/>
      <c r="E350" s="29"/>
      <c r="F350" s="28"/>
      <c r="G350" s="29"/>
      <c r="H350" s="29"/>
      <c r="I350" s="28"/>
    </row>
    <row r="351" spans="1:9" ht="12.75" x14ac:dyDescent="0.2">
      <c r="A351" s="28"/>
      <c r="B351" s="29"/>
      <c r="C351" s="29"/>
      <c r="D351" s="29"/>
      <c r="E351" s="29"/>
      <c r="F351" s="28"/>
      <c r="G351" s="29"/>
      <c r="H351" s="29"/>
      <c r="I351" s="28"/>
    </row>
    <row r="352" spans="1:9" ht="12.75" x14ac:dyDescent="0.2">
      <c r="A352" s="28"/>
      <c r="B352" s="29"/>
      <c r="C352" s="29"/>
      <c r="D352" s="29"/>
      <c r="E352" s="29"/>
      <c r="F352" s="28"/>
      <c r="G352" s="29"/>
      <c r="H352" s="29"/>
      <c r="I352" s="28"/>
    </row>
    <row r="353" spans="1:9" ht="12.75" x14ac:dyDescent="0.2">
      <c r="A353" s="28"/>
      <c r="B353" s="29"/>
      <c r="C353" s="29"/>
      <c r="D353" s="29"/>
      <c r="E353" s="29"/>
      <c r="F353" s="28"/>
      <c r="G353" s="29"/>
      <c r="H353" s="29"/>
      <c r="I353" s="28"/>
    </row>
    <row r="354" spans="1:9" ht="12.75" x14ac:dyDescent="0.2">
      <c r="A354" s="28"/>
      <c r="B354" s="29"/>
      <c r="C354" s="29"/>
      <c r="D354" s="29"/>
      <c r="E354" s="29"/>
      <c r="F354" s="28"/>
      <c r="G354" s="29"/>
      <c r="H354" s="29"/>
      <c r="I354" s="28"/>
    </row>
    <row r="355" spans="1:9" ht="12.75" x14ac:dyDescent="0.2">
      <c r="A355" s="28"/>
      <c r="B355" s="29"/>
      <c r="C355" s="29"/>
      <c r="D355" s="29"/>
      <c r="E355" s="29"/>
      <c r="F355" s="28"/>
      <c r="G355" s="29"/>
      <c r="H355" s="29"/>
      <c r="I355" s="28"/>
    </row>
    <row r="356" spans="1:9" ht="12.75" x14ac:dyDescent="0.2">
      <c r="A356" s="28"/>
      <c r="B356" s="29"/>
      <c r="C356" s="29"/>
      <c r="D356" s="29"/>
      <c r="E356" s="29"/>
      <c r="F356" s="28"/>
      <c r="G356" s="29"/>
      <c r="H356" s="29"/>
      <c r="I356" s="28"/>
    </row>
    <row r="357" spans="1:9" ht="12.75" x14ac:dyDescent="0.2">
      <c r="A357" s="28"/>
      <c r="B357" s="29"/>
      <c r="C357" s="29"/>
      <c r="D357" s="29"/>
      <c r="E357" s="29"/>
      <c r="F357" s="28"/>
      <c r="G357" s="29"/>
      <c r="H357" s="29"/>
      <c r="I357" s="28"/>
    </row>
    <row r="358" spans="1:9" ht="12.75" x14ac:dyDescent="0.2">
      <c r="A358" s="28"/>
      <c r="B358" s="29"/>
      <c r="C358" s="29"/>
      <c r="D358" s="29"/>
      <c r="E358" s="29"/>
      <c r="F358" s="28"/>
      <c r="G358" s="29"/>
      <c r="H358" s="29"/>
      <c r="I358" s="28"/>
    </row>
    <row r="359" spans="1:9" ht="12.75" x14ac:dyDescent="0.2">
      <c r="A359" s="28"/>
      <c r="B359" s="29"/>
      <c r="C359" s="29"/>
      <c r="D359" s="29"/>
      <c r="E359" s="29"/>
      <c r="F359" s="28"/>
      <c r="G359" s="29"/>
      <c r="H359" s="29"/>
      <c r="I359" s="28"/>
    </row>
    <row r="360" spans="1:9" ht="12.75" x14ac:dyDescent="0.2">
      <c r="A360" s="28"/>
      <c r="B360" s="29"/>
      <c r="C360" s="29"/>
      <c r="D360" s="29"/>
      <c r="E360" s="29"/>
      <c r="F360" s="28"/>
      <c r="G360" s="29"/>
      <c r="H360" s="29"/>
      <c r="I360" s="28"/>
    </row>
    <row r="361" spans="1:9" ht="12.75" x14ac:dyDescent="0.2">
      <c r="A361" s="28"/>
      <c r="B361" s="29"/>
      <c r="C361" s="29"/>
      <c r="D361" s="29"/>
      <c r="E361" s="29"/>
      <c r="F361" s="28"/>
      <c r="G361" s="29"/>
      <c r="H361" s="29"/>
      <c r="I361" s="28"/>
    </row>
    <row r="362" spans="1:9" ht="12.75" x14ac:dyDescent="0.2">
      <c r="A362" s="28"/>
      <c r="B362" s="29"/>
      <c r="C362" s="29"/>
      <c r="D362" s="29"/>
      <c r="E362" s="29"/>
      <c r="F362" s="28"/>
      <c r="G362" s="29"/>
      <c r="H362" s="29"/>
      <c r="I362" s="28"/>
    </row>
    <row r="363" spans="1:9" ht="12.75" x14ac:dyDescent="0.2">
      <c r="A363" s="28"/>
      <c r="B363" s="29"/>
      <c r="C363" s="29"/>
      <c r="D363" s="29"/>
      <c r="E363" s="29"/>
      <c r="F363" s="28"/>
      <c r="G363" s="29"/>
      <c r="H363" s="29"/>
      <c r="I363" s="28"/>
    </row>
    <row r="364" spans="1:9" ht="12.75" x14ac:dyDescent="0.2">
      <c r="A364" s="28"/>
      <c r="B364" s="29"/>
      <c r="C364" s="29"/>
      <c r="D364" s="29"/>
      <c r="E364" s="29"/>
      <c r="F364" s="28"/>
      <c r="G364" s="29"/>
      <c r="H364" s="29"/>
      <c r="I364" s="28"/>
    </row>
    <row r="365" spans="1:9" ht="12.75" x14ac:dyDescent="0.2">
      <c r="A365" s="28"/>
      <c r="B365" s="29"/>
      <c r="C365" s="29"/>
      <c r="D365" s="29"/>
      <c r="E365" s="29"/>
      <c r="F365" s="28"/>
      <c r="G365" s="29"/>
      <c r="H365" s="29"/>
      <c r="I365" s="28"/>
    </row>
    <row r="366" spans="1:9" ht="12.75" x14ac:dyDescent="0.2">
      <c r="A366" s="28"/>
      <c r="B366" s="29"/>
      <c r="C366" s="29"/>
      <c r="D366" s="29"/>
      <c r="E366" s="29"/>
      <c r="F366" s="28"/>
      <c r="G366" s="29"/>
      <c r="H366" s="29"/>
      <c r="I366" s="28"/>
    </row>
    <row r="367" spans="1:9" ht="12.75" x14ac:dyDescent="0.2">
      <c r="A367" s="28"/>
      <c r="B367" s="29"/>
      <c r="C367" s="29"/>
      <c r="D367" s="29"/>
      <c r="E367" s="29"/>
      <c r="F367" s="28"/>
      <c r="G367" s="29"/>
      <c r="H367" s="29"/>
      <c r="I367" s="28"/>
    </row>
    <row r="368" spans="1:9" ht="12.75" x14ac:dyDescent="0.2">
      <c r="A368" s="28"/>
      <c r="B368" s="29"/>
      <c r="C368" s="29"/>
      <c r="D368" s="29"/>
      <c r="E368" s="29"/>
      <c r="F368" s="28"/>
      <c r="G368" s="29"/>
      <c r="H368" s="29"/>
      <c r="I368" s="28"/>
    </row>
    <row r="369" spans="1:9" ht="12.75" x14ac:dyDescent="0.2">
      <c r="A369" s="28"/>
      <c r="B369" s="29"/>
      <c r="C369" s="29"/>
      <c r="D369" s="29"/>
      <c r="E369" s="29"/>
      <c r="F369" s="28"/>
      <c r="G369" s="29"/>
      <c r="H369" s="29"/>
      <c r="I369" s="28"/>
    </row>
    <row r="370" spans="1:9" ht="12.75" x14ac:dyDescent="0.2">
      <c r="A370" s="28"/>
      <c r="B370" s="29"/>
      <c r="C370" s="29"/>
      <c r="D370" s="29"/>
      <c r="E370" s="29"/>
      <c r="F370" s="28"/>
      <c r="G370" s="29"/>
      <c r="H370" s="29"/>
      <c r="I370" s="28"/>
    </row>
    <row r="371" spans="1:9" ht="12.75" x14ac:dyDescent="0.2">
      <c r="A371" s="28"/>
      <c r="B371" s="29"/>
      <c r="C371" s="29"/>
      <c r="D371" s="29"/>
      <c r="E371" s="29"/>
      <c r="F371" s="28"/>
      <c r="G371" s="29"/>
      <c r="H371" s="29"/>
      <c r="I371" s="28"/>
    </row>
    <row r="372" spans="1:9" ht="12.75" x14ac:dyDescent="0.2">
      <c r="A372" s="28"/>
      <c r="B372" s="29"/>
      <c r="C372" s="29"/>
      <c r="D372" s="29"/>
      <c r="E372" s="29"/>
      <c r="F372" s="28"/>
      <c r="G372" s="29"/>
      <c r="H372" s="29"/>
      <c r="I372" s="28"/>
    </row>
    <row r="373" spans="1:9" ht="12.75" x14ac:dyDescent="0.2">
      <c r="A373" s="28"/>
      <c r="B373" s="29"/>
      <c r="C373" s="29"/>
      <c r="D373" s="29"/>
      <c r="E373" s="29"/>
      <c r="F373" s="28"/>
      <c r="G373" s="29"/>
      <c r="H373" s="29"/>
      <c r="I373" s="28"/>
    </row>
    <row r="374" spans="1:9" ht="12.75" x14ac:dyDescent="0.2">
      <c r="A374" s="28"/>
      <c r="B374" s="29"/>
      <c r="C374" s="29"/>
      <c r="D374" s="29"/>
      <c r="E374" s="29"/>
      <c r="F374" s="28"/>
      <c r="G374" s="29"/>
      <c r="H374" s="29"/>
      <c r="I374" s="28"/>
    </row>
    <row r="375" spans="1:9" ht="12.75" x14ac:dyDescent="0.2">
      <c r="A375" s="28"/>
      <c r="B375" s="29"/>
      <c r="C375" s="29"/>
      <c r="D375" s="29"/>
      <c r="E375" s="29"/>
      <c r="F375" s="28"/>
      <c r="G375" s="29"/>
      <c r="H375" s="29"/>
      <c r="I375" s="28"/>
    </row>
    <row r="376" spans="1:9" ht="12.75" x14ac:dyDescent="0.2">
      <c r="A376" s="28"/>
      <c r="B376" s="29"/>
      <c r="C376" s="29"/>
      <c r="D376" s="29"/>
      <c r="E376" s="29"/>
      <c r="F376" s="28"/>
      <c r="G376" s="29"/>
      <c r="H376" s="29"/>
      <c r="I376" s="28"/>
    </row>
    <row r="377" spans="1:9" ht="12.75" x14ac:dyDescent="0.2">
      <c r="A377" s="28"/>
      <c r="B377" s="29"/>
      <c r="C377" s="29"/>
      <c r="D377" s="29"/>
      <c r="E377" s="29"/>
      <c r="F377" s="28"/>
      <c r="G377" s="29"/>
      <c r="H377" s="29"/>
      <c r="I377" s="28"/>
    </row>
    <row r="378" spans="1:9" ht="12.75" x14ac:dyDescent="0.2">
      <c r="A378" s="28"/>
      <c r="B378" s="29"/>
      <c r="C378" s="29"/>
      <c r="D378" s="29"/>
      <c r="E378" s="29"/>
      <c r="F378" s="28"/>
      <c r="G378" s="29"/>
      <c r="H378" s="29"/>
      <c r="I378" s="28"/>
    </row>
    <row r="379" spans="1:9" ht="12.75" x14ac:dyDescent="0.2">
      <c r="A379" s="28"/>
      <c r="B379" s="29"/>
      <c r="C379" s="29"/>
      <c r="D379" s="29"/>
      <c r="E379" s="29"/>
      <c r="F379" s="28"/>
      <c r="G379" s="29"/>
      <c r="H379" s="29"/>
      <c r="I379" s="28"/>
    </row>
    <row r="380" spans="1:9" ht="12.75" x14ac:dyDescent="0.2">
      <c r="A380" s="28"/>
      <c r="B380" s="29"/>
      <c r="C380" s="29"/>
      <c r="D380" s="29"/>
      <c r="E380" s="29"/>
      <c r="F380" s="28"/>
      <c r="G380" s="29"/>
      <c r="H380" s="29"/>
      <c r="I380" s="28"/>
    </row>
    <row r="381" spans="1:9" ht="12.75" x14ac:dyDescent="0.2">
      <c r="A381" s="28"/>
      <c r="B381" s="29"/>
      <c r="C381" s="29"/>
      <c r="D381" s="29"/>
      <c r="E381" s="29"/>
      <c r="F381" s="28"/>
      <c r="G381" s="29"/>
      <c r="H381" s="29"/>
      <c r="I381" s="28"/>
    </row>
    <row r="382" spans="1:9" ht="12.75" x14ac:dyDescent="0.2">
      <c r="A382" s="28"/>
      <c r="B382" s="29"/>
      <c r="C382" s="29"/>
      <c r="D382" s="29"/>
      <c r="E382" s="29"/>
      <c r="F382" s="28"/>
      <c r="G382" s="29"/>
      <c r="H382" s="29"/>
      <c r="I382" s="28"/>
    </row>
    <row r="383" spans="1:9" ht="12.75" x14ac:dyDescent="0.2">
      <c r="A383" s="28"/>
      <c r="B383" s="29"/>
      <c r="C383" s="29"/>
      <c r="D383" s="29"/>
      <c r="E383" s="29"/>
      <c r="F383" s="28"/>
      <c r="G383" s="29"/>
      <c r="H383" s="29"/>
      <c r="I383" s="28"/>
    </row>
    <row r="384" spans="1:9" ht="12.75" x14ac:dyDescent="0.2">
      <c r="A384" s="28"/>
      <c r="B384" s="29"/>
      <c r="C384" s="29"/>
      <c r="D384" s="29"/>
      <c r="E384" s="29"/>
      <c r="F384" s="28"/>
      <c r="G384" s="29"/>
      <c r="H384" s="29"/>
      <c r="I384" s="28"/>
    </row>
    <row r="385" spans="1:9" ht="12.75" x14ac:dyDescent="0.2">
      <c r="A385" s="28"/>
      <c r="B385" s="29"/>
      <c r="C385" s="29"/>
      <c r="D385" s="29"/>
      <c r="E385" s="29"/>
      <c r="F385" s="28"/>
      <c r="G385" s="29"/>
      <c r="H385" s="29"/>
      <c r="I385" s="28"/>
    </row>
    <row r="386" spans="1:9" ht="12.75" x14ac:dyDescent="0.2">
      <c r="A386" s="28"/>
      <c r="B386" s="29"/>
      <c r="C386" s="29"/>
      <c r="D386" s="29"/>
      <c r="E386" s="29"/>
      <c r="F386" s="28"/>
      <c r="G386" s="29"/>
      <c r="H386" s="29"/>
      <c r="I386" s="28"/>
    </row>
    <row r="387" spans="1:9" ht="12.75" x14ac:dyDescent="0.2">
      <c r="A387" s="28"/>
      <c r="B387" s="29"/>
      <c r="C387" s="29"/>
      <c r="D387" s="29"/>
      <c r="E387" s="29"/>
      <c r="F387" s="28"/>
      <c r="G387" s="29"/>
      <c r="H387" s="29"/>
      <c r="I387" s="28"/>
    </row>
    <row r="388" spans="1:9" ht="12.75" x14ac:dyDescent="0.2">
      <c r="A388" s="28"/>
      <c r="B388" s="29"/>
      <c r="C388" s="29"/>
      <c r="D388" s="29"/>
      <c r="E388" s="29"/>
      <c r="F388" s="28"/>
      <c r="G388" s="29"/>
      <c r="H388" s="29"/>
      <c r="I388" s="28"/>
    </row>
    <row r="389" spans="1:9" ht="12.75" x14ac:dyDescent="0.2">
      <c r="A389" s="28"/>
      <c r="B389" s="29"/>
      <c r="C389" s="29"/>
      <c r="D389" s="29"/>
      <c r="E389" s="29"/>
      <c r="F389" s="28"/>
      <c r="G389" s="29"/>
      <c r="H389" s="29"/>
      <c r="I389" s="28"/>
    </row>
    <row r="390" spans="1:9" ht="12.75" x14ac:dyDescent="0.2">
      <c r="A390" s="28"/>
      <c r="B390" s="29"/>
      <c r="C390" s="29"/>
      <c r="D390" s="29"/>
      <c r="E390" s="29"/>
      <c r="F390" s="28"/>
      <c r="G390" s="29"/>
      <c r="H390" s="29"/>
      <c r="I390" s="28"/>
    </row>
    <row r="391" spans="1:9" ht="12.75" x14ac:dyDescent="0.2">
      <c r="A391" s="28"/>
      <c r="B391" s="29"/>
      <c r="C391" s="29"/>
      <c r="D391" s="29"/>
      <c r="E391" s="29"/>
      <c r="F391" s="28"/>
      <c r="G391" s="29"/>
      <c r="H391" s="29"/>
      <c r="I391" s="28"/>
    </row>
    <row r="392" spans="1:9" ht="12.75" x14ac:dyDescent="0.2">
      <c r="A392" s="28"/>
      <c r="B392" s="29"/>
      <c r="C392" s="29"/>
      <c r="D392" s="29"/>
      <c r="E392" s="29"/>
      <c r="F392" s="28"/>
      <c r="G392" s="29"/>
      <c r="H392" s="29"/>
      <c r="I392" s="28"/>
    </row>
    <row r="393" spans="1:9" ht="12.75" x14ac:dyDescent="0.2">
      <c r="A393" s="28"/>
      <c r="B393" s="29"/>
      <c r="C393" s="29"/>
      <c r="D393" s="29"/>
      <c r="E393" s="29"/>
      <c r="F393" s="28"/>
      <c r="G393" s="29"/>
      <c r="H393" s="29"/>
      <c r="I393" s="28"/>
    </row>
    <row r="394" spans="1:9" ht="12.75" x14ac:dyDescent="0.2">
      <c r="A394" s="28"/>
      <c r="B394" s="29"/>
      <c r="C394" s="29"/>
      <c r="D394" s="29"/>
      <c r="E394" s="29"/>
      <c r="F394" s="28"/>
      <c r="G394" s="29"/>
      <c r="H394" s="29"/>
      <c r="I394" s="28"/>
    </row>
    <row r="395" spans="1:9" ht="12.75" x14ac:dyDescent="0.2">
      <c r="A395" s="28"/>
      <c r="B395" s="29"/>
      <c r="C395" s="29"/>
      <c r="D395" s="29"/>
      <c r="E395" s="29"/>
      <c r="F395" s="28"/>
      <c r="G395" s="29"/>
      <c r="H395" s="29"/>
      <c r="I395" s="28"/>
    </row>
    <row r="396" spans="1:9" ht="12.75" x14ac:dyDescent="0.2">
      <c r="A396" s="28"/>
      <c r="B396" s="29"/>
      <c r="C396" s="29"/>
      <c r="D396" s="29"/>
      <c r="E396" s="29"/>
      <c r="F396" s="28"/>
      <c r="G396" s="29"/>
      <c r="H396" s="29"/>
      <c r="I396" s="28"/>
    </row>
    <row r="397" spans="1:9" ht="12.75" x14ac:dyDescent="0.2">
      <c r="A397" s="28"/>
      <c r="B397" s="29"/>
      <c r="C397" s="29"/>
      <c r="D397" s="29"/>
      <c r="E397" s="29"/>
      <c r="F397" s="28"/>
      <c r="G397" s="29"/>
      <c r="H397" s="29"/>
      <c r="I397" s="28"/>
    </row>
    <row r="398" spans="1:9" ht="12.75" x14ac:dyDescent="0.2">
      <c r="A398" s="28"/>
      <c r="B398" s="29"/>
      <c r="C398" s="29"/>
      <c r="D398" s="29"/>
      <c r="E398" s="29"/>
      <c r="F398" s="28"/>
      <c r="G398" s="29"/>
      <c r="H398" s="29"/>
      <c r="I398" s="28"/>
    </row>
    <row r="399" spans="1:9" ht="12.75" x14ac:dyDescent="0.2">
      <c r="A399" s="28"/>
      <c r="B399" s="29"/>
      <c r="C399" s="29"/>
      <c r="D399" s="29"/>
      <c r="E399" s="29"/>
      <c r="F399" s="28"/>
      <c r="G399" s="29"/>
      <c r="H399" s="29"/>
      <c r="I399" s="28"/>
    </row>
    <row r="400" spans="1:9" ht="12.75" x14ac:dyDescent="0.2">
      <c r="A400" s="28"/>
      <c r="B400" s="29"/>
      <c r="C400" s="29"/>
      <c r="D400" s="29"/>
      <c r="E400" s="29"/>
      <c r="F400" s="28"/>
      <c r="G400" s="29"/>
      <c r="H400" s="29"/>
      <c r="I400" s="28"/>
    </row>
    <row r="401" spans="1:9" ht="12.75" x14ac:dyDescent="0.2">
      <c r="A401" s="28"/>
      <c r="B401" s="29"/>
      <c r="C401" s="29"/>
      <c r="D401" s="29"/>
      <c r="E401" s="29"/>
      <c r="F401" s="28"/>
      <c r="G401" s="29"/>
      <c r="H401" s="29"/>
      <c r="I401" s="28"/>
    </row>
    <row r="402" spans="1:9" ht="12.75" x14ac:dyDescent="0.2">
      <c r="A402" s="28"/>
      <c r="B402" s="29"/>
      <c r="C402" s="29"/>
      <c r="D402" s="29"/>
      <c r="E402" s="29"/>
      <c r="F402" s="28"/>
      <c r="G402" s="29"/>
      <c r="H402" s="29"/>
      <c r="I402" s="28"/>
    </row>
    <row r="403" spans="1:9" ht="12.75" x14ac:dyDescent="0.2">
      <c r="A403" s="28"/>
      <c r="B403" s="29"/>
      <c r="C403" s="29"/>
      <c r="D403" s="29"/>
      <c r="E403" s="29"/>
      <c r="F403" s="28"/>
      <c r="G403" s="29"/>
      <c r="H403" s="29"/>
      <c r="I403" s="28"/>
    </row>
    <row r="404" spans="1:9" ht="12.75" x14ac:dyDescent="0.2">
      <c r="A404" s="28"/>
      <c r="B404" s="29"/>
      <c r="C404" s="29"/>
      <c r="D404" s="29"/>
      <c r="E404" s="29"/>
      <c r="F404" s="28"/>
      <c r="G404" s="29"/>
      <c r="H404" s="29"/>
      <c r="I404" s="28"/>
    </row>
    <row r="405" spans="1:9" ht="12.75" x14ac:dyDescent="0.2">
      <c r="A405" s="28"/>
      <c r="B405" s="29"/>
      <c r="C405" s="29"/>
      <c r="D405" s="29"/>
      <c r="E405" s="29"/>
      <c r="F405" s="28"/>
      <c r="G405" s="29"/>
      <c r="H405" s="29"/>
      <c r="I405" s="28"/>
    </row>
    <row r="406" spans="1:9" ht="12.75" x14ac:dyDescent="0.2">
      <c r="A406" s="28"/>
      <c r="B406" s="29"/>
      <c r="C406" s="29"/>
      <c r="D406" s="29"/>
      <c r="E406" s="29"/>
      <c r="F406" s="28"/>
      <c r="G406" s="29"/>
      <c r="H406" s="29"/>
      <c r="I406" s="28"/>
    </row>
    <row r="407" spans="1:9" ht="12.75" x14ac:dyDescent="0.2">
      <c r="A407" s="28"/>
      <c r="B407" s="29"/>
      <c r="C407" s="29"/>
      <c r="D407" s="29"/>
      <c r="E407" s="29"/>
      <c r="F407" s="28"/>
      <c r="G407" s="29"/>
      <c r="H407" s="29"/>
      <c r="I407" s="28"/>
    </row>
    <row r="408" spans="1:9" ht="12.75" x14ac:dyDescent="0.2">
      <c r="A408" s="28"/>
      <c r="B408" s="29"/>
      <c r="C408" s="29"/>
      <c r="D408" s="29"/>
      <c r="E408" s="29"/>
      <c r="F408" s="28"/>
      <c r="G408" s="29"/>
      <c r="H408" s="29"/>
      <c r="I408" s="28"/>
    </row>
    <row r="409" spans="1:9" ht="12.75" x14ac:dyDescent="0.2">
      <c r="A409" s="28"/>
      <c r="B409" s="29"/>
      <c r="C409" s="29"/>
      <c r="D409" s="29"/>
      <c r="E409" s="29"/>
      <c r="F409" s="28"/>
      <c r="G409" s="29"/>
      <c r="H409" s="29"/>
      <c r="I409" s="28"/>
    </row>
    <row r="410" spans="1:9" ht="12.75" x14ac:dyDescent="0.2">
      <c r="A410" s="28"/>
      <c r="B410" s="29"/>
      <c r="C410" s="29"/>
      <c r="D410" s="29"/>
      <c r="E410" s="29"/>
      <c r="F410" s="28"/>
      <c r="G410" s="29"/>
      <c r="H410" s="29"/>
      <c r="I410" s="28"/>
    </row>
    <row r="411" spans="1:9" ht="12.75" x14ac:dyDescent="0.2">
      <c r="A411" s="28"/>
      <c r="B411" s="29"/>
      <c r="C411" s="29"/>
      <c r="D411" s="29"/>
      <c r="E411" s="29"/>
      <c r="F411" s="28"/>
      <c r="G411" s="29"/>
      <c r="H411" s="29"/>
      <c r="I411" s="28"/>
    </row>
    <row r="412" spans="1:9" ht="12.75" x14ac:dyDescent="0.2">
      <c r="A412" s="28"/>
      <c r="B412" s="29"/>
      <c r="C412" s="29"/>
      <c r="D412" s="29"/>
      <c r="E412" s="29"/>
      <c r="F412" s="28"/>
      <c r="G412" s="29"/>
      <c r="H412" s="29"/>
      <c r="I412" s="28"/>
    </row>
    <row r="413" spans="1:9" ht="12.75" x14ac:dyDescent="0.2">
      <c r="A413" s="28"/>
      <c r="B413" s="29"/>
      <c r="C413" s="29"/>
      <c r="D413" s="29"/>
      <c r="E413" s="29"/>
      <c r="F413" s="28"/>
      <c r="G413" s="29"/>
      <c r="H413" s="29"/>
      <c r="I413" s="28"/>
    </row>
    <row r="414" spans="1:9" ht="12.75" x14ac:dyDescent="0.2">
      <c r="A414" s="28"/>
      <c r="B414" s="29"/>
      <c r="C414" s="29"/>
      <c r="D414" s="29"/>
      <c r="E414" s="29"/>
      <c r="F414" s="28"/>
      <c r="G414" s="29"/>
      <c r="H414" s="29"/>
      <c r="I414" s="28"/>
    </row>
    <row r="415" spans="1:9" ht="12.75" x14ac:dyDescent="0.2">
      <c r="A415" s="28"/>
      <c r="B415" s="29"/>
      <c r="C415" s="29"/>
      <c r="D415" s="29"/>
      <c r="E415" s="29"/>
      <c r="F415" s="28"/>
      <c r="G415" s="29"/>
      <c r="H415" s="29"/>
      <c r="I415" s="28"/>
    </row>
    <row r="416" spans="1:9" ht="12.75" x14ac:dyDescent="0.2">
      <c r="A416" s="28"/>
      <c r="B416" s="29"/>
      <c r="C416" s="29"/>
      <c r="D416" s="29"/>
      <c r="E416" s="29"/>
      <c r="F416" s="28"/>
      <c r="G416" s="29"/>
      <c r="H416" s="29"/>
      <c r="I416" s="28"/>
    </row>
    <row r="417" spans="1:9" ht="12.75" x14ac:dyDescent="0.2">
      <c r="A417" s="28"/>
      <c r="B417" s="29"/>
      <c r="C417" s="29"/>
      <c r="D417" s="29"/>
      <c r="E417" s="29"/>
      <c r="F417" s="28"/>
      <c r="G417" s="29"/>
      <c r="H417" s="29"/>
      <c r="I417" s="28"/>
    </row>
    <row r="418" spans="1:9" ht="12.75" x14ac:dyDescent="0.2">
      <c r="A418" s="28"/>
      <c r="B418" s="29"/>
      <c r="C418" s="29"/>
      <c r="D418" s="29"/>
      <c r="E418" s="29"/>
      <c r="F418" s="28"/>
      <c r="G418" s="29"/>
      <c r="H418" s="29"/>
      <c r="I418" s="28"/>
    </row>
    <row r="419" spans="1:9" ht="12.75" x14ac:dyDescent="0.2">
      <c r="A419" s="28"/>
      <c r="B419" s="29"/>
      <c r="C419" s="29"/>
      <c r="D419" s="29"/>
      <c r="E419" s="29"/>
      <c r="F419" s="28"/>
      <c r="G419" s="29"/>
      <c r="H419" s="29"/>
      <c r="I419" s="28"/>
    </row>
    <row r="420" spans="1:9" ht="12.75" x14ac:dyDescent="0.2">
      <c r="A420" s="28"/>
      <c r="B420" s="29"/>
      <c r="C420" s="29"/>
      <c r="D420" s="29"/>
      <c r="E420" s="29"/>
      <c r="F420" s="28"/>
      <c r="G420" s="29"/>
      <c r="H420" s="29"/>
      <c r="I420" s="28"/>
    </row>
    <row r="421" spans="1:9" ht="12.75" x14ac:dyDescent="0.2">
      <c r="A421" s="28"/>
      <c r="B421" s="29"/>
      <c r="C421" s="29"/>
      <c r="D421" s="29"/>
      <c r="E421" s="29"/>
      <c r="F421" s="28"/>
      <c r="G421" s="29"/>
      <c r="H421" s="29"/>
      <c r="I421" s="28"/>
    </row>
    <row r="422" spans="1:9" ht="12.75" x14ac:dyDescent="0.2">
      <c r="A422" s="28"/>
      <c r="B422" s="29"/>
      <c r="C422" s="29"/>
      <c r="D422" s="29"/>
      <c r="E422" s="29"/>
      <c r="F422" s="28"/>
      <c r="G422" s="29"/>
      <c r="H422" s="29"/>
      <c r="I422" s="28"/>
    </row>
    <row r="423" spans="1:9" ht="12.75" x14ac:dyDescent="0.2">
      <c r="A423" s="28"/>
      <c r="B423" s="29"/>
      <c r="C423" s="29"/>
      <c r="D423" s="29"/>
      <c r="E423" s="29"/>
      <c r="F423" s="28"/>
      <c r="G423" s="29"/>
      <c r="H423" s="29"/>
      <c r="I423" s="28"/>
    </row>
    <row r="424" spans="1:9" ht="12.75" x14ac:dyDescent="0.2">
      <c r="A424" s="28"/>
      <c r="B424" s="29"/>
      <c r="C424" s="29"/>
      <c r="D424" s="29"/>
      <c r="E424" s="29"/>
      <c r="F424" s="28"/>
      <c r="G424" s="29"/>
      <c r="H424" s="29"/>
      <c r="I424" s="28"/>
    </row>
    <row r="425" spans="1:9" ht="12.75" x14ac:dyDescent="0.2">
      <c r="A425" s="28"/>
      <c r="B425" s="29"/>
      <c r="C425" s="29"/>
      <c r="D425" s="29"/>
      <c r="E425" s="29"/>
      <c r="F425" s="28"/>
      <c r="G425" s="29"/>
      <c r="H425" s="29"/>
      <c r="I425" s="28"/>
    </row>
    <row r="426" spans="1:9" ht="12.75" x14ac:dyDescent="0.2">
      <c r="A426" s="28"/>
      <c r="B426" s="29"/>
      <c r="C426" s="29"/>
      <c r="D426" s="29"/>
      <c r="E426" s="29"/>
      <c r="F426" s="28"/>
      <c r="G426" s="29"/>
      <c r="H426" s="29"/>
      <c r="I426" s="28"/>
    </row>
    <row r="427" spans="1:9" ht="12.75" x14ac:dyDescent="0.2">
      <c r="A427" s="28"/>
      <c r="B427" s="29"/>
      <c r="C427" s="29"/>
      <c r="D427" s="29"/>
      <c r="E427" s="29"/>
      <c r="F427" s="28"/>
      <c r="G427" s="29"/>
      <c r="H427" s="29"/>
      <c r="I427" s="28"/>
    </row>
    <row r="428" spans="1:9" ht="12.75" x14ac:dyDescent="0.2">
      <c r="A428" s="28"/>
      <c r="B428" s="29"/>
      <c r="C428" s="29"/>
      <c r="D428" s="29"/>
      <c r="E428" s="29"/>
      <c r="F428" s="28"/>
      <c r="G428" s="29"/>
      <c r="H428" s="29"/>
      <c r="I428" s="28"/>
    </row>
    <row r="429" spans="1:9" ht="12.75" x14ac:dyDescent="0.2">
      <c r="A429" s="28"/>
      <c r="B429" s="29"/>
      <c r="C429" s="29"/>
      <c r="D429" s="29"/>
      <c r="E429" s="29"/>
      <c r="F429" s="28"/>
      <c r="G429" s="29"/>
      <c r="H429" s="29"/>
      <c r="I429" s="28"/>
    </row>
    <row r="430" spans="1:9" ht="12.75" x14ac:dyDescent="0.2">
      <c r="A430" s="28"/>
      <c r="B430" s="29"/>
      <c r="C430" s="29"/>
      <c r="D430" s="29"/>
      <c r="E430" s="29"/>
      <c r="F430" s="28"/>
      <c r="G430" s="29"/>
      <c r="H430" s="29"/>
      <c r="I430" s="28"/>
    </row>
    <row r="431" spans="1:9" ht="12.75" x14ac:dyDescent="0.2">
      <c r="A431" s="28"/>
      <c r="B431" s="29"/>
      <c r="C431" s="29"/>
      <c r="D431" s="29"/>
      <c r="E431" s="29"/>
      <c r="F431" s="28"/>
      <c r="G431" s="29"/>
      <c r="H431" s="29"/>
      <c r="I431" s="28"/>
    </row>
    <row r="432" spans="1:9" ht="12.75" x14ac:dyDescent="0.2">
      <c r="A432" s="28"/>
      <c r="B432" s="29"/>
      <c r="C432" s="29"/>
      <c r="D432" s="29"/>
      <c r="E432" s="29"/>
      <c r="F432" s="28"/>
      <c r="G432" s="29"/>
      <c r="H432" s="29"/>
      <c r="I432" s="28"/>
    </row>
    <row r="433" spans="1:9" ht="12.75" x14ac:dyDescent="0.2">
      <c r="A433" s="28"/>
      <c r="B433" s="29"/>
      <c r="C433" s="29"/>
      <c r="D433" s="29"/>
      <c r="E433" s="29"/>
      <c r="F433" s="28"/>
      <c r="G433" s="29"/>
      <c r="H433" s="29"/>
      <c r="I433" s="28"/>
    </row>
    <row r="434" spans="1:9" ht="12.75" x14ac:dyDescent="0.2">
      <c r="A434" s="28"/>
      <c r="B434" s="29"/>
      <c r="C434" s="29"/>
      <c r="D434" s="29"/>
      <c r="E434" s="29"/>
      <c r="F434" s="28"/>
      <c r="G434" s="29"/>
      <c r="H434" s="29"/>
      <c r="I434" s="28"/>
    </row>
    <row r="435" spans="1:9" ht="12.75" x14ac:dyDescent="0.2">
      <c r="A435" s="28"/>
      <c r="B435" s="29"/>
      <c r="C435" s="29"/>
      <c r="D435" s="29"/>
      <c r="E435" s="29"/>
      <c r="F435" s="28"/>
      <c r="G435" s="29"/>
      <c r="H435" s="29"/>
      <c r="I435" s="28"/>
    </row>
    <row r="436" spans="1:9" ht="12.75" x14ac:dyDescent="0.2">
      <c r="A436" s="28"/>
      <c r="B436" s="29"/>
      <c r="C436" s="29"/>
      <c r="D436" s="29"/>
      <c r="E436" s="29"/>
      <c r="F436" s="28"/>
      <c r="G436" s="29"/>
      <c r="H436" s="29"/>
      <c r="I436" s="28"/>
    </row>
    <row r="437" spans="1:9" ht="12.75" x14ac:dyDescent="0.2">
      <c r="A437" s="28"/>
      <c r="B437" s="29"/>
      <c r="C437" s="29"/>
      <c r="D437" s="29"/>
      <c r="E437" s="29"/>
      <c r="F437" s="28"/>
      <c r="G437" s="29"/>
      <c r="H437" s="29"/>
      <c r="I437" s="28"/>
    </row>
    <row r="438" spans="1:9" ht="12.75" x14ac:dyDescent="0.2">
      <c r="A438" s="28"/>
      <c r="B438" s="29"/>
      <c r="C438" s="29"/>
      <c r="D438" s="29"/>
      <c r="E438" s="29"/>
      <c r="F438" s="28"/>
      <c r="G438" s="29"/>
      <c r="H438" s="29"/>
      <c r="I438" s="28"/>
    </row>
    <row r="439" spans="1:9" ht="12.75" x14ac:dyDescent="0.2">
      <c r="A439" s="28"/>
      <c r="B439" s="29"/>
      <c r="C439" s="29"/>
      <c r="D439" s="29"/>
      <c r="E439" s="29"/>
      <c r="F439" s="28"/>
      <c r="G439" s="29"/>
      <c r="H439" s="29"/>
      <c r="I439" s="28"/>
    </row>
    <row r="440" spans="1:9" ht="12.75" x14ac:dyDescent="0.2">
      <c r="A440" s="28"/>
      <c r="B440" s="29"/>
      <c r="C440" s="29"/>
      <c r="D440" s="29"/>
      <c r="E440" s="29"/>
      <c r="F440" s="28"/>
      <c r="G440" s="29"/>
      <c r="H440" s="29"/>
      <c r="I440" s="28"/>
    </row>
    <row r="441" spans="1:9" ht="12.75" x14ac:dyDescent="0.2">
      <c r="A441" s="28"/>
      <c r="B441" s="29"/>
      <c r="C441" s="29"/>
      <c r="D441" s="29"/>
      <c r="E441" s="29"/>
      <c r="F441" s="28"/>
      <c r="G441" s="29"/>
      <c r="H441" s="29"/>
      <c r="I441" s="28"/>
    </row>
    <row r="442" spans="1:9" ht="12.75" x14ac:dyDescent="0.2">
      <c r="A442" s="28"/>
      <c r="B442" s="29"/>
      <c r="C442" s="29"/>
      <c r="D442" s="29"/>
      <c r="E442" s="29"/>
      <c r="F442" s="28"/>
      <c r="G442" s="29"/>
      <c r="H442" s="29"/>
      <c r="I442" s="28"/>
    </row>
    <row r="443" spans="1:9" ht="12.75" x14ac:dyDescent="0.2">
      <c r="A443" s="28"/>
      <c r="B443" s="29"/>
      <c r="C443" s="29"/>
      <c r="D443" s="29"/>
      <c r="E443" s="29"/>
      <c r="F443" s="28"/>
      <c r="G443" s="29"/>
      <c r="H443" s="29"/>
      <c r="I443" s="28"/>
    </row>
    <row r="444" spans="1:9" ht="12.75" x14ac:dyDescent="0.2">
      <c r="A444" s="28"/>
      <c r="B444" s="29"/>
      <c r="C444" s="29"/>
      <c r="D444" s="29"/>
      <c r="E444" s="29"/>
      <c r="F444" s="28"/>
      <c r="G444" s="29"/>
      <c r="H444" s="29"/>
      <c r="I444" s="28"/>
    </row>
    <row r="445" spans="1:9" ht="12.75" x14ac:dyDescent="0.2">
      <c r="A445" s="28"/>
      <c r="B445" s="29"/>
      <c r="C445" s="29"/>
      <c r="D445" s="29"/>
      <c r="E445" s="29"/>
      <c r="F445" s="28"/>
      <c r="G445" s="29"/>
      <c r="H445" s="29"/>
      <c r="I445" s="28"/>
    </row>
    <row r="446" spans="1:9" ht="12.75" x14ac:dyDescent="0.2">
      <c r="A446" s="28"/>
      <c r="B446" s="29"/>
      <c r="C446" s="29"/>
      <c r="D446" s="29"/>
      <c r="E446" s="29"/>
      <c r="F446" s="28"/>
      <c r="G446" s="29"/>
      <c r="H446" s="29"/>
      <c r="I446" s="28"/>
    </row>
    <row r="447" spans="1:9" ht="12.75" x14ac:dyDescent="0.2">
      <c r="A447" s="28"/>
      <c r="B447" s="29"/>
      <c r="C447" s="29"/>
      <c r="D447" s="29"/>
      <c r="E447" s="29"/>
      <c r="F447" s="28"/>
      <c r="G447" s="29"/>
      <c r="H447" s="29"/>
      <c r="I447" s="28"/>
    </row>
    <row r="448" spans="1:9" ht="12.75" x14ac:dyDescent="0.2">
      <c r="A448" s="28"/>
      <c r="B448" s="29"/>
      <c r="C448" s="29"/>
      <c r="D448" s="29"/>
      <c r="E448" s="29"/>
      <c r="F448" s="28"/>
      <c r="G448" s="29"/>
      <c r="H448" s="29"/>
      <c r="I448" s="28"/>
    </row>
    <row r="449" spans="1:9" ht="12.75" x14ac:dyDescent="0.2">
      <c r="A449" s="28"/>
      <c r="B449" s="29"/>
      <c r="C449" s="29"/>
      <c r="D449" s="29"/>
      <c r="E449" s="29"/>
      <c r="F449" s="28"/>
      <c r="G449" s="29"/>
      <c r="H449" s="29"/>
      <c r="I449" s="28"/>
    </row>
    <row r="450" spans="1:9" ht="12.75" x14ac:dyDescent="0.2">
      <c r="A450" s="28"/>
      <c r="B450" s="29"/>
      <c r="C450" s="29"/>
      <c r="D450" s="29"/>
      <c r="E450" s="29"/>
      <c r="F450" s="28"/>
      <c r="G450" s="29"/>
      <c r="H450" s="29"/>
      <c r="I450" s="28"/>
    </row>
    <row r="451" spans="1:9" ht="12.75" x14ac:dyDescent="0.2">
      <c r="A451" s="28"/>
      <c r="B451" s="29"/>
      <c r="C451" s="29"/>
      <c r="D451" s="29"/>
      <c r="E451" s="29"/>
      <c r="F451" s="28"/>
      <c r="G451" s="29"/>
      <c r="H451" s="29"/>
      <c r="I451" s="28"/>
    </row>
    <row r="452" spans="1:9" ht="12.75" x14ac:dyDescent="0.2">
      <c r="A452" s="28"/>
      <c r="B452" s="29"/>
      <c r="C452" s="29"/>
      <c r="D452" s="29"/>
      <c r="E452" s="29"/>
      <c r="F452" s="28"/>
      <c r="G452" s="29"/>
      <c r="H452" s="29"/>
      <c r="I452" s="28"/>
    </row>
    <row r="453" spans="1:9" ht="12.75" x14ac:dyDescent="0.2">
      <c r="A453" s="28"/>
      <c r="B453" s="29"/>
      <c r="C453" s="29"/>
      <c r="D453" s="29"/>
      <c r="E453" s="29"/>
      <c r="F453" s="28"/>
      <c r="G453" s="29"/>
      <c r="H453" s="29"/>
      <c r="I453" s="28"/>
    </row>
    <row r="454" spans="1:9" ht="12.75" x14ac:dyDescent="0.2">
      <c r="A454" s="28"/>
      <c r="B454" s="29"/>
      <c r="C454" s="29"/>
      <c r="D454" s="29"/>
      <c r="E454" s="29"/>
      <c r="F454" s="28"/>
      <c r="G454" s="29"/>
      <c r="H454" s="29"/>
      <c r="I454" s="28"/>
    </row>
    <row r="455" spans="1:9" ht="12.75" x14ac:dyDescent="0.2">
      <c r="A455" s="28"/>
      <c r="B455" s="29"/>
      <c r="C455" s="29"/>
      <c r="D455" s="29"/>
      <c r="E455" s="29"/>
      <c r="F455" s="28"/>
      <c r="G455" s="29"/>
      <c r="H455" s="29"/>
      <c r="I455" s="28"/>
    </row>
    <row r="456" spans="1:9" ht="12.75" x14ac:dyDescent="0.2">
      <c r="A456" s="28"/>
      <c r="B456" s="29"/>
      <c r="C456" s="29"/>
      <c r="D456" s="29"/>
      <c r="E456" s="29"/>
      <c r="F456" s="28"/>
      <c r="G456" s="29"/>
      <c r="H456" s="29"/>
      <c r="I456" s="28"/>
    </row>
    <row r="457" spans="1:9" ht="12.75" x14ac:dyDescent="0.2">
      <c r="A457" s="28"/>
      <c r="B457" s="29"/>
      <c r="C457" s="29"/>
      <c r="D457" s="29"/>
      <c r="E457" s="29"/>
      <c r="F457" s="28"/>
      <c r="G457" s="29"/>
      <c r="H457" s="29"/>
      <c r="I457" s="28"/>
    </row>
    <row r="458" spans="1:9" ht="12.75" x14ac:dyDescent="0.2">
      <c r="A458" s="28"/>
      <c r="B458" s="29"/>
      <c r="C458" s="29"/>
      <c r="D458" s="29"/>
      <c r="E458" s="29"/>
      <c r="F458" s="28"/>
      <c r="G458" s="29"/>
      <c r="H458" s="29"/>
      <c r="I458" s="28"/>
    </row>
    <row r="459" spans="1:9" ht="12.75" x14ac:dyDescent="0.2">
      <c r="A459" s="28"/>
      <c r="B459" s="29"/>
      <c r="C459" s="29"/>
      <c r="D459" s="29"/>
      <c r="E459" s="29"/>
      <c r="F459" s="28"/>
      <c r="G459" s="29"/>
      <c r="H459" s="29"/>
      <c r="I459" s="28"/>
    </row>
    <row r="460" spans="1:9" ht="12.75" x14ac:dyDescent="0.2">
      <c r="A460" s="28"/>
      <c r="B460" s="29"/>
      <c r="C460" s="29"/>
      <c r="D460" s="29"/>
      <c r="E460" s="29"/>
      <c r="F460" s="28"/>
      <c r="G460" s="29"/>
      <c r="H460" s="29"/>
      <c r="I460" s="28"/>
    </row>
    <row r="461" spans="1:9" ht="12.75" x14ac:dyDescent="0.2">
      <c r="A461" s="28"/>
      <c r="B461" s="29"/>
      <c r="C461" s="29"/>
      <c r="D461" s="29"/>
      <c r="E461" s="29"/>
      <c r="F461" s="28"/>
      <c r="G461" s="29"/>
      <c r="H461" s="29"/>
      <c r="I461" s="28"/>
    </row>
    <row r="462" spans="1:9" ht="12.75" x14ac:dyDescent="0.2">
      <c r="A462" s="28"/>
      <c r="B462" s="29"/>
      <c r="C462" s="29"/>
      <c r="D462" s="29"/>
      <c r="E462" s="29"/>
      <c r="F462" s="28"/>
      <c r="G462" s="29"/>
      <c r="H462" s="29"/>
      <c r="I462" s="28"/>
    </row>
    <row r="463" spans="1:9" ht="12.75" x14ac:dyDescent="0.2">
      <c r="A463" s="28"/>
      <c r="B463" s="29"/>
      <c r="C463" s="29"/>
      <c r="D463" s="29"/>
      <c r="E463" s="29"/>
      <c r="F463" s="28"/>
      <c r="G463" s="29"/>
      <c r="H463" s="29"/>
      <c r="I463" s="28"/>
    </row>
    <row r="464" spans="1:9" ht="12.75" x14ac:dyDescent="0.2">
      <c r="A464" s="28"/>
      <c r="B464" s="29"/>
      <c r="C464" s="29"/>
      <c r="D464" s="29"/>
      <c r="E464" s="29"/>
      <c r="F464" s="28"/>
      <c r="G464" s="29"/>
      <c r="H464" s="29"/>
      <c r="I464" s="28"/>
    </row>
    <row r="465" spans="1:9" ht="12.75" x14ac:dyDescent="0.2">
      <c r="A465" s="28"/>
      <c r="B465" s="29"/>
      <c r="C465" s="29"/>
      <c r="D465" s="29"/>
      <c r="E465" s="29"/>
      <c r="F465" s="28"/>
      <c r="G465" s="29"/>
      <c r="H465" s="29"/>
      <c r="I465" s="28"/>
    </row>
    <row r="466" spans="1:9" ht="12.75" x14ac:dyDescent="0.2">
      <c r="A466" s="28"/>
      <c r="B466" s="29"/>
      <c r="C466" s="29"/>
      <c r="D466" s="29"/>
      <c r="E466" s="29"/>
      <c r="F466" s="28"/>
      <c r="G466" s="29"/>
      <c r="H466" s="29"/>
      <c r="I466" s="28"/>
    </row>
    <row r="467" spans="1:9" ht="12.75" x14ac:dyDescent="0.2">
      <c r="A467" s="28"/>
      <c r="B467" s="29"/>
      <c r="C467" s="29"/>
      <c r="D467" s="29"/>
      <c r="E467" s="29"/>
      <c r="F467" s="28"/>
      <c r="G467" s="29"/>
      <c r="H467" s="29"/>
      <c r="I467" s="28"/>
    </row>
    <row r="468" spans="1:9" ht="12.75" x14ac:dyDescent="0.2">
      <c r="A468" s="28"/>
      <c r="B468" s="29"/>
      <c r="C468" s="29"/>
      <c r="D468" s="29"/>
      <c r="E468" s="29"/>
      <c r="F468" s="28"/>
      <c r="G468" s="29"/>
      <c r="H468" s="29"/>
      <c r="I468" s="28"/>
    </row>
    <row r="469" spans="1:9" ht="12.75" x14ac:dyDescent="0.2">
      <c r="A469" s="28"/>
      <c r="B469" s="29"/>
      <c r="C469" s="29"/>
      <c r="D469" s="29"/>
      <c r="E469" s="29"/>
      <c r="F469" s="28"/>
      <c r="G469" s="29"/>
      <c r="H469" s="29"/>
      <c r="I469" s="28"/>
    </row>
    <row r="470" spans="1:9" ht="12.75" x14ac:dyDescent="0.2">
      <c r="A470" s="28"/>
      <c r="B470" s="29"/>
      <c r="C470" s="29"/>
      <c r="D470" s="29"/>
      <c r="E470" s="29"/>
      <c r="F470" s="28"/>
      <c r="G470" s="29"/>
      <c r="H470" s="29"/>
      <c r="I470" s="28"/>
    </row>
    <row r="471" spans="1:9" ht="12.75" x14ac:dyDescent="0.2">
      <c r="A471" s="28"/>
      <c r="B471" s="29"/>
      <c r="C471" s="29"/>
      <c r="D471" s="29"/>
      <c r="E471" s="29"/>
      <c r="F471" s="28"/>
      <c r="G471" s="29"/>
      <c r="H471" s="29"/>
      <c r="I471" s="28"/>
    </row>
    <row r="472" spans="1:9" ht="12.75" x14ac:dyDescent="0.2">
      <c r="A472" s="28"/>
      <c r="B472" s="29"/>
      <c r="C472" s="29"/>
      <c r="D472" s="29"/>
      <c r="E472" s="29"/>
      <c r="F472" s="28"/>
      <c r="G472" s="29"/>
      <c r="H472" s="29"/>
      <c r="I472" s="28"/>
    </row>
    <row r="473" spans="1:9" ht="12.75" x14ac:dyDescent="0.2">
      <c r="A473" s="28"/>
      <c r="B473" s="29"/>
      <c r="C473" s="29"/>
      <c r="D473" s="29"/>
      <c r="E473" s="29"/>
      <c r="F473" s="28"/>
      <c r="G473" s="29"/>
      <c r="H473" s="29"/>
      <c r="I473" s="28"/>
    </row>
    <row r="474" spans="1:9" ht="12.75" x14ac:dyDescent="0.2">
      <c r="A474" s="28"/>
      <c r="B474" s="29"/>
      <c r="C474" s="29"/>
      <c r="D474" s="29"/>
      <c r="E474" s="29"/>
      <c r="F474" s="28"/>
      <c r="G474" s="29"/>
      <c r="H474" s="29"/>
      <c r="I474" s="28"/>
    </row>
    <row r="475" spans="1:9" ht="12.75" x14ac:dyDescent="0.2">
      <c r="A475" s="28"/>
      <c r="B475" s="29"/>
      <c r="C475" s="29"/>
      <c r="D475" s="29"/>
      <c r="E475" s="29"/>
      <c r="F475" s="28"/>
      <c r="G475" s="29"/>
      <c r="H475" s="29"/>
      <c r="I475" s="28"/>
    </row>
    <row r="476" spans="1:9" ht="12.75" x14ac:dyDescent="0.2">
      <c r="A476" s="28"/>
      <c r="B476" s="29"/>
      <c r="C476" s="29"/>
      <c r="D476" s="29"/>
      <c r="E476" s="29"/>
      <c r="F476" s="28"/>
      <c r="G476" s="29"/>
      <c r="H476" s="29"/>
      <c r="I476" s="28"/>
    </row>
    <row r="477" spans="1:9" ht="12.75" x14ac:dyDescent="0.2">
      <c r="A477" s="28"/>
      <c r="B477" s="29"/>
      <c r="C477" s="29"/>
      <c r="D477" s="29"/>
      <c r="E477" s="29"/>
      <c r="F477" s="28"/>
      <c r="G477" s="29"/>
      <c r="H477" s="29"/>
      <c r="I477" s="28"/>
    </row>
    <row r="478" spans="1:9" ht="12.75" x14ac:dyDescent="0.2">
      <c r="A478" s="28"/>
      <c r="B478" s="29"/>
      <c r="C478" s="29"/>
      <c r="D478" s="29"/>
      <c r="E478" s="29"/>
      <c r="F478" s="28"/>
      <c r="G478" s="29"/>
      <c r="H478" s="29"/>
      <c r="I478" s="28"/>
    </row>
    <row r="479" spans="1:9" ht="12.75" x14ac:dyDescent="0.2">
      <c r="A479" s="28"/>
      <c r="B479" s="29"/>
      <c r="C479" s="29"/>
      <c r="D479" s="29"/>
      <c r="E479" s="29"/>
      <c r="F479" s="28"/>
      <c r="G479" s="29"/>
      <c r="H479" s="29"/>
      <c r="I479" s="28"/>
    </row>
    <row r="480" spans="1:9" ht="12.75" x14ac:dyDescent="0.2">
      <c r="A480" s="28"/>
      <c r="B480" s="29"/>
      <c r="C480" s="29"/>
      <c r="D480" s="29"/>
      <c r="E480" s="29"/>
      <c r="F480" s="28"/>
      <c r="G480" s="29"/>
      <c r="H480" s="29"/>
      <c r="I480" s="28"/>
    </row>
    <row r="481" spans="1:9" ht="12.75" x14ac:dyDescent="0.2">
      <c r="A481" s="28"/>
      <c r="B481" s="29"/>
      <c r="C481" s="29"/>
      <c r="D481" s="29"/>
      <c r="E481" s="29"/>
      <c r="F481" s="28"/>
      <c r="G481" s="29"/>
      <c r="H481" s="29"/>
      <c r="I481" s="28"/>
    </row>
    <row r="482" spans="1:9" ht="12.75" x14ac:dyDescent="0.2">
      <c r="A482" s="28"/>
      <c r="B482" s="29"/>
      <c r="C482" s="29"/>
      <c r="D482" s="29"/>
      <c r="E482" s="29"/>
      <c r="F482" s="28"/>
      <c r="G482" s="29"/>
      <c r="H482" s="29"/>
      <c r="I482" s="28"/>
    </row>
    <row r="483" spans="1:9" ht="12.75" x14ac:dyDescent="0.2">
      <c r="A483" s="28"/>
      <c r="B483" s="29"/>
      <c r="C483" s="29"/>
      <c r="D483" s="29"/>
      <c r="E483" s="29"/>
      <c r="F483" s="28"/>
      <c r="G483" s="29"/>
      <c r="H483" s="29"/>
      <c r="I483" s="28"/>
    </row>
    <row r="484" spans="1:9" ht="12.75" x14ac:dyDescent="0.2">
      <c r="A484" s="28"/>
      <c r="B484" s="29"/>
      <c r="C484" s="29"/>
      <c r="D484" s="29"/>
      <c r="E484" s="29"/>
      <c r="F484" s="28"/>
      <c r="G484" s="29"/>
      <c r="H484" s="29"/>
      <c r="I484" s="28"/>
    </row>
    <row r="485" spans="1:9" ht="12.75" x14ac:dyDescent="0.2">
      <c r="A485" s="28"/>
      <c r="B485" s="29"/>
      <c r="C485" s="29"/>
      <c r="D485" s="29"/>
      <c r="E485" s="29"/>
      <c r="F485" s="28"/>
      <c r="G485" s="29"/>
      <c r="H485" s="29"/>
      <c r="I485" s="28"/>
    </row>
    <row r="486" spans="1:9" ht="12.75" x14ac:dyDescent="0.2">
      <c r="A486" s="28"/>
      <c r="B486" s="29"/>
      <c r="C486" s="29"/>
      <c r="D486" s="29"/>
      <c r="E486" s="29"/>
      <c r="F486" s="28"/>
      <c r="G486" s="29"/>
      <c r="H486" s="29"/>
      <c r="I486" s="28"/>
    </row>
    <row r="487" spans="1:9" ht="12.75" x14ac:dyDescent="0.2">
      <c r="A487" s="28"/>
      <c r="B487" s="29"/>
      <c r="C487" s="29"/>
      <c r="D487" s="29"/>
      <c r="E487" s="29"/>
      <c r="F487" s="28"/>
      <c r="G487" s="29"/>
      <c r="H487" s="29"/>
      <c r="I487" s="28"/>
    </row>
    <row r="488" spans="1:9" ht="12.75" x14ac:dyDescent="0.2">
      <c r="A488" s="28"/>
      <c r="B488" s="29"/>
      <c r="C488" s="29"/>
      <c r="D488" s="29"/>
      <c r="E488" s="29"/>
      <c r="F488" s="28"/>
      <c r="G488" s="29"/>
      <c r="H488" s="29"/>
      <c r="I488" s="28"/>
    </row>
    <row r="489" spans="1:9" ht="12.75" x14ac:dyDescent="0.2">
      <c r="A489" s="28"/>
      <c r="B489" s="29"/>
      <c r="C489" s="29"/>
      <c r="D489" s="29"/>
      <c r="E489" s="29"/>
      <c r="F489" s="28"/>
      <c r="G489" s="29"/>
      <c r="H489" s="29"/>
      <c r="I489" s="28"/>
    </row>
    <row r="490" spans="1:9" ht="12.75" x14ac:dyDescent="0.2">
      <c r="A490" s="28"/>
      <c r="B490" s="29"/>
      <c r="C490" s="29"/>
      <c r="D490" s="29"/>
      <c r="E490" s="29"/>
      <c r="F490" s="28"/>
      <c r="G490" s="29"/>
      <c r="H490" s="29"/>
      <c r="I490" s="28"/>
    </row>
    <row r="491" spans="1:9" ht="12.75" x14ac:dyDescent="0.2">
      <c r="A491" s="28"/>
      <c r="B491" s="29"/>
      <c r="C491" s="29"/>
      <c r="D491" s="29"/>
      <c r="E491" s="29"/>
      <c r="F491" s="28"/>
      <c r="G491" s="29"/>
      <c r="H491" s="29"/>
      <c r="I491" s="28"/>
    </row>
    <row r="492" spans="1:9" ht="12.75" x14ac:dyDescent="0.2">
      <c r="A492" s="28"/>
      <c r="B492" s="29"/>
      <c r="C492" s="29"/>
      <c r="D492" s="29"/>
      <c r="E492" s="29"/>
      <c r="F492" s="28"/>
      <c r="G492" s="29"/>
      <c r="H492" s="29"/>
      <c r="I492" s="28"/>
    </row>
    <row r="493" spans="1:9" ht="12.75" x14ac:dyDescent="0.2">
      <c r="A493" s="28"/>
      <c r="B493" s="29"/>
      <c r="C493" s="29"/>
      <c r="D493" s="29"/>
      <c r="E493" s="29"/>
      <c r="F493" s="28"/>
      <c r="G493" s="29"/>
      <c r="H493" s="29"/>
      <c r="I493" s="28"/>
    </row>
    <row r="494" spans="1:9" ht="12.75" x14ac:dyDescent="0.2">
      <c r="A494" s="28"/>
      <c r="B494" s="29"/>
      <c r="C494" s="29"/>
      <c r="D494" s="29"/>
      <c r="E494" s="29"/>
      <c r="F494" s="28"/>
      <c r="G494" s="29"/>
      <c r="H494" s="29"/>
      <c r="I494" s="28"/>
    </row>
    <row r="495" spans="1:9" ht="12.75" x14ac:dyDescent="0.2">
      <c r="A495" s="28"/>
      <c r="B495" s="29"/>
      <c r="C495" s="29"/>
      <c r="D495" s="29"/>
      <c r="E495" s="29"/>
      <c r="F495" s="28"/>
      <c r="G495" s="29"/>
      <c r="H495" s="29"/>
      <c r="I495" s="28"/>
    </row>
    <row r="496" spans="1:9" ht="12.75" x14ac:dyDescent="0.2">
      <c r="A496" s="28"/>
      <c r="B496" s="29"/>
      <c r="C496" s="29"/>
      <c r="D496" s="29"/>
      <c r="E496" s="29"/>
      <c r="F496" s="28"/>
      <c r="G496" s="29"/>
      <c r="H496" s="29"/>
      <c r="I496" s="28"/>
    </row>
    <row r="497" spans="1:9" ht="12.75" x14ac:dyDescent="0.2">
      <c r="A497" s="28"/>
      <c r="B497" s="29"/>
      <c r="C497" s="29"/>
      <c r="D497" s="29"/>
      <c r="E497" s="29"/>
      <c r="F497" s="28"/>
      <c r="G497" s="29"/>
      <c r="H497" s="29"/>
      <c r="I497" s="28"/>
    </row>
    <row r="498" spans="1:9" ht="12.75" x14ac:dyDescent="0.2">
      <c r="A498" s="28"/>
      <c r="B498" s="29"/>
      <c r="C498" s="29"/>
      <c r="D498" s="29"/>
      <c r="E498" s="29"/>
      <c r="F498" s="28"/>
      <c r="G498" s="29"/>
      <c r="H498" s="29"/>
      <c r="I498" s="28"/>
    </row>
    <row r="499" spans="1:9" ht="12.75" x14ac:dyDescent="0.2">
      <c r="A499" s="28"/>
      <c r="B499" s="29"/>
      <c r="C499" s="29"/>
      <c r="D499" s="29"/>
      <c r="E499" s="29"/>
      <c r="F499" s="28"/>
      <c r="G499" s="29"/>
      <c r="H499" s="29"/>
      <c r="I499" s="28"/>
    </row>
    <row r="500" spans="1:9" ht="12.75" x14ac:dyDescent="0.2">
      <c r="A500" s="28"/>
      <c r="B500" s="29"/>
      <c r="C500" s="29"/>
      <c r="D500" s="29"/>
      <c r="E500" s="29"/>
      <c r="F500" s="28"/>
      <c r="G500" s="29"/>
      <c r="H500" s="29"/>
      <c r="I500" s="28"/>
    </row>
    <row r="501" spans="1:9" ht="12.75" x14ac:dyDescent="0.2">
      <c r="A501" s="28"/>
      <c r="B501" s="29"/>
      <c r="C501" s="29"/>
      <c r="D501" s="29"/>
      <c r="E501" s="29"/>
      <c r="F501" s="28"/>
      <c r="G501" s="29"/>
      <c r="H501" s="29"/>
      <c r="I501" s="28"/>
    </row>
    <row r="502" spans="1:9" ht="12.75" x14ac:dyDescent="0.2">
      <c r="A502" s="28"/>
      <c r="B502" s="29"/>
      <c r="C502" s="29"/>
      <c r="D502" s="29"/>
      <c r="E502" s="29"/>
      <c r="F502" s="28"/>
      <c r="G502" s="29"/>
      <c r="H502" s="29"/>
      <c r="I502" s="28"/>
    </row>
    <row r="503" spans="1:9" ht="12.75" x14ac:dyDescent="0.2">
      <c r="A503" s="28"/>
      <c r="B503" s="29"/>
      <c r="C503" s="29"/>
      <c r="D503" s="29"/>
      <c r="E503" s="29"/>
      <c r="F503" s="28"/>
      <c r="G503" s="29"/>
      <c r="H503" s="29"/>
      <c r="I503" s="28"/>
    </row>
    <row r="504" spans="1:9" ht="12.75" x14ac:dyDescent="0.2">
      <c r="A504" s="28"/>
      <c r="B504" s="29"/>
      <c r="C504" s="29"/>
      <c r="D504" s="29"/>
      <c r="E504" s="29"/>
      <c r="F504" s="28"/>
      <c r="G504" s="29"/>
      <c r="H504" s="29"/>
      <c r="I504" s="28"/>
    </row>
    <row r="505" spans="1:9" ht="12.75" x14ac:dyDescent="0.2">
      <c r="A505" s="28"/>
      <c r="B505" s="29"/>
      <c r="C505" s="29"/>
      <c r="D505" s="29"/>
      <c r="E505" s="29"/>
      <c r="F505" s="28"/>
      <c r="G505" s="29"/>
      <c r="H505" s="29"/>
      <c r="I505" s="28"/>
    </row>
    <row r="506" spans="1:9" ht="12.75" x14ac:dyDescent="0.2">
      <c r="A506" s="28"/>
      <c r="B506" s="29"/>
      <c r="C506" s="29"/>
      <c r="D506" s="29"/>
      <c r="E506" s="29"/>
      <c r="F506" s="28"/>
      <c r="G506" s="29"/>
      <c r="H506" s="29"/>
      <c r="I506" s="28"/>
    </row>
    <row r="507" spans="1:9" ht="12.75" x14ac:dyDescent="0.2">
      <c r="A507" s="28"/>
      <c r="B507" s="29"/>
      <c r="C507" s="29"/>
      <c r="D507" s="29"/>
      <c r="E507" s="29"/>
      <c r="F507" s="28"/>
      <c r="G507" s="29"/>
      <c r="H507" s="29"/>
      <c r="I507" s="28"/>
    </row>
    <row r="508" spans="1:9" ht="12.75" x14ac:dyDescent="0.2">
      <c r="A508" s="28"/>
      <c r="B508" s="29"/>
      <c r="C508" s="29"/>
      <c r="D508" s="29"/>
      <c r="E508" s="29"/>
      <c r="F508" s="28"/>
      <c r="G508" s="29"/>
      <c r="H508" s="29"/>
      <c r="I508" s="28"/>
    </row>
    <row r="509" spans="1:9" ht="12.75" x14ac:dyDescent="0.2">
      <c r="A509" s="28"/>
      <c r="B509" s="29"/>
      <c r="C509" s="29"/>
      <c r="D509" s="29"/>
      <c r="E509" s="29"/>
      <c r="F509" s="28"/>
      <c r="G509" s="29"/>
      <c r="H509" s="29"/>
      <c r="I509" s="28"/>
    </row>
    <row r="510" spans="1:9" ht="12.75" x14ac:dyDescent="0.2">
      <c r="A510" s="28"/>
      <c r="B510" s="29"/>
      <c r="C510" s="29"/>
      <c r="D510" s="29"/>
      <c r="E510" s="29"/>
      <c r="F510" s="28"/>
      <c r="G510" s="29"/>
      <c r="H510" s="29"/>
      <c r="I510" s="28"/>
    </row>
    <row r="511" spans="1:9" ht="12.75" x14ac:dyDescent="0.2">
      <c r="A511" s="28"/>
      <c r="B511" s="29"/>
      <c r="C511" s="29"/>
      <c r="D511" s="29"/>
      <c r="E511" s="29"/>
      <c r="F511" s="28"/>
      <c r="G511" s="29"/>
      <c r="H511" s="29"/>
      <c r="I511" s="28"/>
    </row>
    <row r="512" spans="1:9" ht="12.75" x14ac:dyDescent="0.2">
      <c r="A512" s="28"/>
      <c r="B512" s="29"/>
      <c r="C512" s="29"/>
      <c r="D512" s="29"/>
      <c r="E512" s="29"/>
      <c r="F512" s="28"/>
      <c r="G512" s="29"/>
      <c r="H512" s="29"/>
      <c r="I512" s="28"/>
    </row>
    <row r="513" spans="1:9" ht="12.75" x14ac:dyDescent="0.2">
      <c r="A513" s="28"/>
      <c r="B513" s="29"/>
      <c r="C513" s="29"/>
      <c r="D513" s="29"/>
      <c r="E513" s="29"/>
      <c r="F513" s="28"/>
      <c r="G513" s="29"/>
      <c r="H513" s="29"/>
      <c r="I513" s="28"/>
    </row>
    <row r="514" spans="1:9" ht="12.75" x14ac:dyDescent="0.2">
      <c r="A514" s="28"/>
      <c r="B514" s="29"/>
      <c r="C514" s="29"/>
      <c r="D514" s="29"/>
      <c r="E514" s="29"/>
      <c r="F514" s="28"/>
      <c r="G514" s="29"/>
      <c r="H514" s="29"/>
      <c r="I514" s="28"/>
    </row>
    <row r="515" spans="1:9" ht="12.75" x14ac:dyDescent="0.2">
      <c r="A515" s="28"/>
      <c r="B515" s="29"/>
      <c r="C515" s="29"/>
      <c r="D515" s="29"/>
      <c r="E515" s="29"/>
      <c r="F515" s="28"/>
      <c r="G515" s="29"/>
      <c r="H515" s="29"/>
      <c r="I515" s="28"/>
    </row>
    <row r="516" spans="1:9" ht="12.75" x14ac:dyDescent="0.2">
      <c r="A516" s="28"/>
      <c r="B516" s="29"/>
      <c r="C516" s="29"/>
      <c r="D516" s="29"/>
      <c r="E516" s="29"/>
      <c r="F516" s="28"/>
      <c r="G516" s="29"/>
      <c r="H516" s="29"/>
      <c r="I516" s="28"/>
    </row>
    <row r="517" spans="1:9" ht="12.75" x14ac:dyDescent="0.2">
      <c r="A517" s="28"/>
      <c r="B517" s="29"/>
      <c r="C517" s="29"/>
      <c r="D517" s="29"/>
      <c r="E517" s="29"/>
      <c r="F517" s="28"/>
      <c r="G517" s="29"/>
      <c r="H517" s="29"/>
      <c r="I517" s="28"/>
    </row>
    <row r="518" spans="1:9" ht="12.75" x14ac:dyDescent="0.2">
      <c r="A518" s="28"/>
      <c r="B518" s="29"/>
      <c r="C518" s="29"/>
      <c r="D518" s="29"/>
      <c r="E518" s="29"/>
      <c r="F518" s="28"/>
      <c r="G518" s="29"/>
      <c r="H518" s="29"/>
      <c r="I518" s="28"/>
    </row>
    <row r="519" spans="1:9" ht="12.75" x14ac:dyDescent="0.2">
      <c r="A519" s="28"/>
      <c r="B519" s="29"/>
      <c r="C519" s="29"/>
      <c r="D519" s="29"/>
      <c r="E519" s="29"/>
      <c r="F519" s="28"/>
      <c r="G519" s="29"/>
      <c r="H519" s="29"/>
      <c r="I519" s="28"/>
    </row>
    <row r="520" spans="1:9" ht="12.75" x14ac:dyDescent="0.2">
      <c r="A520" s="28"/>
      <c r="B520" s="29"/>
      <c r="C520" s="29"/>
      <c r="D520" s="29"/>
      <c r="E520" s="29"/>
      <c r="F520" s="28"/>
      <c r="G520" s="29"/>
      <c r="H520" s="29"/>
      <c r="I520" s="28"/>
    </row>
    <row r="521" spans="1:9" ht="12.75" x14ac:dyDescent="0.2">
      <c r="A521" s="28"/>
      <c r="B521" s="29"/>
      <c r="C521" s="29"/>
      <c r="D521" s="29"/>
      <c r="E521" s="29"/>
      <c r="F521" s="28"/>
      <c r="G521" s="29"/>
      <c r="H521" s="29"/>
      <c r="I521" s="28"/>
    </row>
    <row r="522" spans="1:9" ht="12.75" x14ac:dyDescent="0.2">
      <c r="A522" s="28"/>
      <c r="B522" s="29"/>
      <c r="C522" s="29"/>
      <c r="D522" s="29"/>
      <c r="E522" s="29"/>
      <c r="F522" s="28"/>
      <c r="G522" s="29"/>
      <c r="H522" s="29"/>
      <c r="I522" s="28"/>
    </row>
    <row r="523" spans="1:9" ht="12.75" x14ac:dyDescent="0.2">
      <c r="A523" s="28"/>
      <c r="B523" s="29"/>
      <c r="C523" s="29"/>
      <c r="D523" s="29"/>
      <c r="E523" s="29"/>
      <c r="F523" s="28"/>
      <c r="G523" s="29"/>
      <c r="H523" s="29"/>
      <c r="I523" s="28"/>
    </row>
    <row r="524" spans="1:9" ht="12.75" x14ac:dyDescent="0.2">
      <c r="A524" s="28"/>
      <c r="B524" s="29"/>
      <c r="C524" s="29"/>
      <c r="D524" s="29"/>
      <c r="E524" s="29"/>
      <c r="F524" s="28"/>
      <c r="G524" s="29"/>
      <c r="H524" s="29"/>
      <c r="I524" s="28"/>
    </row>
    <row r="525" spans="1:9" ht="12.75" x14ac:dyDescent="0.2">
      <c r="A525" s="28"/>
      <c r="B525" s="29"/>
      <c r="C525" s="29"/>
      <c r="D525" s="29"/>
      <c r="E525" s="29"/>
      <c r="F525" s="28"/>
      <c r="G525" s="29"/>
      <c r="H525" s="29"/>
      <c r="I525" s="28"/>
    </row>
    <row r="526" spans="1:9" ht="12.75" x14ac:dyDescent="0.2">
      <c r="A526" s="28"/>
      <c r="B526" s="29"/>
      <c r="C526" s="29"/>
      <c r="D526" s="29"/>
      <c r="E526" s="29"/>
      <c r="F526" s="28"/>
      <c r="G526" s="29"/>
      <c r="H526" s="29"/>
      <c r="I526" s="28"/>
    </row>
    <row r="527" spans="1:9" ht="12.75" x14ac:dyDescent="0.2">
      <c r="A527" s="28"/>
      <c r="B527" s="29"/>
      <c r="C527" s="29"/>
      <c r="D527" s="29"/>
      <c r="E527" s="29"/>
      <c r="F527" s="28"/>
      <c r="G527" s="29"/>
      <c r="H527" s="29"/>
      <c r="I527" s="28"/>
    </row>
    <row r="528" spans="1:9" ht="12.75" x14ac:dyDescent="0.2">
      <c r="A528" s="28"/>
      <c r="B528" s="29"/>
      <c r="C528" s="29"/>
      <c r="D528" s="29"/>
      <c r="E528" s="29"/>
      <c r="F528" s="28"/>
      <c r="G528" s="29"/>
      <c r="H528" s="29"/>
      <c r="I528" s="28"/>
    </row>
    <row r="529" spans="1:9" ht="12.75" x14ac:dyDescent="0.2">
      <c r="A529" s="28"/>
      <c r="B529" s="29"/>
      <c r="C529" s="29"/>
      <c r="D529" s="29"/>
      <c r="E529" s="29"/>
      <c r="F529" s="28"/>
      <c r="G529" s="29"/>
      <c r="H529" s="29"/>
      <c r="I529" s="28"/>
    </row>
    <row r="530" spans="1:9" ht="12.75" x14ac:dyDescent="0.2">
      <c r="A530" s="28"/>
      <c r="B530" s="29"/>
      <c r="C530" s="29"/>
      <c r="D530" s="29"/>
      <c r="E530" s="29"/>
      <c r="F530" s="28"/>
      <c r="G530" s="29"/>
      <c r="H530" s="29"/>
      <c r="I530" s="28"/>
    </row>
    <row r="531" spans="1:9" ht="12.75" x14ac:dyDescent="0.2">
      <c r="A531" s="28"/>
      <c r="B531" s="29"/>
      <c r="C531" s="29"/>
      <c r="D531" s="29"/>
      <c r="E531" s="29"/>
      <c r="F531" s="28"/>
      <c r="G531" s="29"/>
      <c r="H531" s="29"/>
      <c r="I531" s="28"/>
    </row>
    <row r="532" spans="1:9" ht="12.75" x14ac:dyDescent="0.2">
      <c r="A532" s="28"/>
      <c r="B532" s="29"/>
      <c r="C532" s="29"/>
      <c r="D532" s="29"/>
      <c r="E532" s="29"/>
      <c r="F532" s="28"/>
      <c r="G532" s="29"/>
      <c r="H532" s="29"/>
      <c r="I532" s="28"/>
    </row>
    <row r="533" spans="1:9" ht="12.75" x14ac:dyDescent="0.2">
      <c r="A533" s="28"/>
      <c r="B533" s="29"/>
      <c r="C533" s="29"/>
      <c r="D533" s="29"/>
      <c r="E533" s="29"/>
      <c r="F533" s="28"/>
      <c r="G533" s="29"/>
      <c r="H533" s="29"/>
      <c r="I533" s="28"/>
    </row>
    <row r="534" spans="1:9" ht="12.75" x14ac:dyDescent="0.2">
      <c r="A534" s="28"/>
      <c r="B534" s="29"/>
      <c r="C534" s="29"/>
      <c r="D534" s="29"/>
      <c r="E534" s="29"/>
      <c r="F534" s="28"/>
      <c r="G534" s="29"/>
      <c r="H534" s="29"/>
      <c r="I534" s="28"/>
    </row>
    <row r="535" spans="1:9" ht="12.75" x14ac:dyDescent="0.2">
      <c r="A535" s="28"/>
      <c r="B535" s="29"/>
      <c r="C535" s="29"/>
      <c r="D535" s="29"/>
      <c r="E535" s="29"/>
      <c r="F535" s="28"/>
      <c r="G535" s="29"/>
      <c r="H535" s="29"/>
      <c r="I535" s="28"/>
    </row>
    <row r="536" spans="1:9" ht="12.75" x14ac:dyDescent="0.2">
      <c r="A536" s="28"/>
      <c r="B536" s="29"/>
      <c r="C536" s="29"/>
      <c r="D536" s="29"/>
      <c r="E536" s="29"/>
      <c r="F536" s="28"/>
      <c r="G536" s="29"/>
      <c r="H536" s="29"/>
      <c r="I536" s="28"/>
    </row>
    <row r="537" spans="1:9" ht="12.75" x14ac:dyDescent="0.2">
      <c r="A537" s="28"/>
      <c r="B537" s="29"/>
      <c r="C537" s="29"/>
      <c r="D537" s="29"/>
      <c r="E537" s="29"/>
      <c r="F537" s="28"/>
      <c r="G537" s="29"/>
      <c r="H537" s="29"/>
      <c r="I537" s="28"/>
    </row>
    <row r="538" spans="1:9" ht="12.75" x14ac:dyDescent="0.2">
      <c r="A538" s="28"/>
      <c r="B538" s="29"/>
      <c r="C538" s="29"/>
      <c r="D538" s="29"/>
      <c r="E538" s="29"/>
      <c r="F538" s="28"/>
      <c r="G538" s="29"/>
      <c r="H538" s="29"/>
      <c r="I538" s="28"/>
    </row>
    <row r="539" spans="1:9" ht="12.75" x14ac:dyDescent="0.2">
      <c r="A539" s="28"/>
      <c r="B539" s="29"/>
      <c r="C539" s="29"/>
      <c r="D539" s="29"/>
      <c r="E539" s="29"/>
      <c r="F539" s="28"/>
      <c r="G539" s="29"/>
      <c r="H539" s="29"/>
      <c r="I539" s="28"/>
    </row>
    <row r="540" spans="1:9" ht="12.75" x14ac:dyDescent="0.2">
      <c r="A540" s="28"/>
      <c r="B540" s="29"/>
      <c r="C540" s="29"/>
      <c r="D540" s="29"/>
      <c r="E540" s="29"/>
      <c r="F540" s="28"/>
      <c r="G540" s="29"/>
      <c r="H540" s="29"/>
      <c r="I540" s="28"/>
    </row>
    <row r="541" spans="1:9" ht="12.75" x14ac:dyDescent="0.2">
      <c r="A541" s="28"/>
      <c r="B541" s="29"/>
      <c r="C541" s="29"/>
      <c r="D541" s="29"/>
      <c r="E541" s="29"/>
      <c r="F541" s="28"/>
      <c r="G541" s="29"/>
      <c r="H541" s="29"/>
      <c r="I541" s="28"/>
    </row>
    <row r="542" spans="1:9" ht="12.75" x14ac:dyDescent="0.2">
      <c r="A542" s="28"/>
      <c r="B542" s="29"/>
      <c r="C542" s="29"/>
      <c r="D542" s="29"/>
      <c r="E542" s="29"/>
      <c r="F542" s="28"/>
      <c r="G542" s="29"/>
      <c r="H542" s="29"/>
      <c r="I542" s="28"/>
    </row>
    <row r="543" spans="1:9" ht="12.75" x14ac:dyDescent="0.2">
      <c r="A543" s="28"/>
      <c r="B543" s="29"/>
      <c r="C543" s="29"/>
      <c r="D543" s="29"/>
      <c r="E543" s="29"/>
      <c r="F543" s="28"/>
      <c r="G543" s="29"/>
      <c r="H543" s="29"/>
      <c r="I543" s="28"/>
    </row>
    <row r="544" spans="1:9" ht="12.75" x14ac:dyDescent="0.2">
      <c r="A544" s="28"/>
      <c r="B544" s="29"/>
      <c r="C544" s="29"/>
      <c r="D544" s="29"/>
      <c r="E544" s="29"/>
      <c r="F544" s="28"/>
      <c r="G544" s="29"/>
      <c r="H544" s="29"/>
      <c r="I544" s="28"/>
    </row>
    <row r="545" spans="1:9" ht="12.75" x14ac:dyDescent="0.2">
      <c r="A545" s="28"/>
      <c r="B545" s="29"/>
      <c r="C545" s="29"/>
      <c r="D545" s="29"/>
      <c r="E545" s="29"/>
      <c r="F545" s="28"/>
      <c r="G545" s="29"/>
      <c r="H545" s="29"/>
      <c r="I545" s="28"/>
    </row>
    <row r="546" spans="1:9" ht="12.75" x14ac:dyDescent="0.2">
      <c r="A546" s="28"/>
      <c r="B546" s="29"/>
      <c r="C546" s="29"/>
      <c r="D546" s="29"/>
      <c r="E546" s="29"/>
      <c r="F546" s="28"/>
      <c r="G546" s="29"/>
      <c r="H546" s="29"/>
      <c r="I546" s="28"/>
    </row>
    <row r="547" spans="1:9" ht="12.75" x14ac:dyDescent="0.2">
      <c r="A547" s="28"/>
      <c r="B547" s="29"/>
      <c r="C547" s="29"/>
      <c r="D547" s="29"/>
      <c r="E547" s="29"/>
      <c r="F547" s="28"/>
      <c r="G547" s="29"/>
      <c r="H547" s="29"/>
      <c r="I547" s="28"/>
    </row>
    <row r="548" spans="1:9" ht="12.75" x14ac:dyDescent="0.2">
      <c r="A548" s="28"/>
      <c r="B548" s="29"/>
      <c r="C548" s="29"/>
      <c r="D548" s="29"/>
      <c r="E548" s="29"/>
      <c r="F548" s="28"/>
      <c r="G548" s="29"/>
      <c r="H548" s="29"/>
      <c r="I548" s="28"/>
    </row>
    <row r="549" spans="1:9" ht="12.75" x14ac:dyDescent="0.2">
      <c r="A549" s="28"/>
      <c r="B549" s="29"/>
      <c r="C549" s="29"/>
      <c r="D549" s="29"/>
      <c r="E549" s="29"/>
      <c r="F549" s="28"/>
      <c r="G549" s="29"/>
      <c r="H549" s="29"/>
      <c r="I549" s="28"/>
    </row>
    <row r="550" spans="1:9" ht="12.75" x14ac:dyDescent="0.2">
      <c r="A550" s="28"/>
      <c r="B550" s="29"/>
      <c r="C550" s="29"/>
      <c r="D550" s="29"/>
      <c r="E550" s="29"/>
      <c r="F550" s="28"/>
      <c r="G550" s="29"/>
      <c r="H550" s="29"/>
      <c r="I550" s="28"/>
    </row>
    <row r="551" spans="1:9" ht="12.75" x14ac:dyDescent="0.2">
      <c r="A551" s="28"/>
      <c r="B551" s="29"/>
      <c r="C551" s="29"/>
      <c r="D551" s="29"/>
      <c r="E551" s="29"/>
      <c r="F551" s="28"/>
      <c r="G551" s="29"/>
      <c r="H551" s="29"/>
      <c r="I551" s="28"/>
    </row>
    <row r="552" spans="1:9" ht="12.75" x14ac:dyDescent="0.2">
      <c r="A552" s="28"/>
      <c r="B552" s="29"/>
      <c r="C552" s="29"/>
      <c r="D552" s="29"/>
      <c r="E552" s="29"/>
      <c r="F552" s="28"/>
      <c r="G552" s="29"/>
      <c r="H552" s="29"/>
      <c r="I552" s="28"/>
    </row>
    <row r="553" spans="1:9" ht="12.75" x14ac:dyDescent="0.2">
      <c r="A553" s="28"/>
      <c r="B553" s="29"/>
      <c r="C553" s="29"/>
      <c r="D553" s="29"/>
      <c r="E553" s="29"/>
      <c r="F553" s="28"/>
      <c r="G553" s="29"/>
      <c r="H553" s="29"/>
      <c r="I553" s="28"/>
    </row>
    <row r="554" spans="1:9" ht="12.75" x14ac:dyDescent="0.2">
      <c r="A554" s="28"/>
      <c r="B554" s="29"/>
      <c r="C554" s="29"/>
      <c r="D554" s="29"/>
      <c r="E554" s="29"/>
      <c r="F554" s="28"/>
      <c r="G554" s="29"/>
      <c r="H554" s="29"/>
      <c r="I554" s="28"/>
    </row>
    <row r="555" spans="1:9" ht="12.75" x14ac:dyDescent="0.2">
      <c r="A555" s="28"/>
      <c r="B555" s="29"/>
      <c r="C555" s="29"/>
      <c r="D555" s="29"/>
      <c r="E555" s="29"/>
      <c r="F555" s="28"/>
      <c r="G555" s="29"/>
      <c r="H555" s="29"/>
      <c r="I555" s="28"/>
    </row>
    <row r="556" spans="1:9" ht="12.75" x14ac:dyDescent="0.2">
      <c r="A556" s="28"/>
      <c r="B556" s="29"/>
      <c r="C556" s="29"/>
      <c r="D556" s="29"/>
      <c r="E556" s="29"/>
      <c r="F556" s="28"/>
      <c r="G556" s="29"/>
      <c r="H556" s="29"/>
      <c r="I556" s="28"/>
    </row>
    <row r="557" spans="1:9" ht="12.75" x14ac:dyDescent="0.2">
      <c r="A557" s="28"/>
      <c r="B557" s="29"/>
      <c r="C557" s="29"/>
      <c r="D557" s="29"/>
      <c r="E557" s="29"/>
      <c r="F557" s="28"/>
      <c r="G557" s="29"/>
      <c r="H557" s="29"/>
      <c r="I557" s="28"/>
    </row>
    <row r="558" spans="1:9" ht="12.75" x14ac:dyDescent="0.2">
      <c r="A558" s="28"/>
      <c r="B558" s="29"/>
      <c r="C558" s="29"/>
      <c r="D558" s="29"/>
      <c r="E558" s="29"/>
      <c r="F558" s="28"/>
      <c r="G558" s="29"/>
      <c r="H558" s="29"/>
      <c r="I558" s="28"/>
    </row>
    <row r="559" spans="1:9" ht="12.75" x14ac:dyDescent="0.2">
      <c r="A559" s="28"/>
      <c r="B559" s="29"/>
      <c r="C559" s="29"/>
      <c r="D559" s="29"/>
      <c r="E559" s="29"/>
      <c r="F559" s="28"/>
      <c r="G559" s="29"/>
      <c r="H559" s="29"/>
      <c r="I559" s="28"/>
    </row>
    <row r="560" spans="1:9" ht="12.75" x14ac:dyDescent="0.2">
      <c r="A560" s="28"/>
      <c r="B560" s="29"/>
      <c r="C560" s="29"/>
      <c r="D560" s="29"/>
      <c r="E560" s="29"/>
      <c r="F560" s="28"/>
      <c r="G560" s="29"/>
      <c r="H560" s="29"/>
      <c r="I560" s="28"/>
    </row>
    <row r="561" spans="1:9" ht="12.75" x14ac:dyDescent="0.2">
      <c r="A561" s="28"/>
      <c r="B561" s="29"/>
      <c r="C561" s="29"/>
      <c r="D561" s="29"/>
      <c r="E561" s="29"/>
      <c r="F561" s="28"/>
      <c r="G561" s="29"/>
      <c r="H561" s="29"/>
      <c r="I561" s="28"/>
    </row>
    <row r="562" spans="1:9" ht="12.75" x14ac:dyDescent="0.2">
      <c r="A562" s="28"/>
      <c r="B562" s="29"/>
      <c r="C562" s="29"/>
      <c r="D562" s="29"/>
      <c r="E562" s="29"/>
      <c r="F562" s="28"/>
      <c r="G562" s="29"/>
      <c r="H562" s="29"/>
      <c r="I562" s="28"/>
    </row>
    <row r="563" spans="1:9" ht="12.75" x14ac:dyDescent="0.2">
      <c r="A563" s="28"/>
      <c r="B563" s="29"/>
      <c r="C563" s="29"/>
      <c r="D563" s="29"/>
      <c r="E563" s="29"/>
      <c r="F563" s="28"/>
      <c r="G563" s="29"/>
      <c r="H563" s="29"/>
      <c r="I563" s="28"/>
    </row>
    <row r="564" spans="1:9" ht="12.75" x14ac:dyDescent="0.2">
      <c r="A564" s="28"/>
      <c r="B564" s="29"/>
      <c r="C564" s="29"/>
      <c r="D564" s="29"/>
      <c r="E564" s="29"/>
      <c r="F564" s="28"/>
      <c r="G564" s="29"/>
      <c r="H564" s="29"/>
      <c r="I564" s="28"/>
    </row>
    <row r="565" spans="1:9" ht="12.75" x14ac:dyDescent="0.2">
      <c r="A565" s="28"/>
      <c r="B565" s="29"/>
      <c r="C565" s="29"/>
      <c r="D565" s="29"/>
      <c r="E565" s="29"/>
      <c r="F565" s="28"/>
      <c r="G565" s="29"/>
      <c r="H565" s="29"/>
      <c r="I565" s="28"/>
    </row>
    <row r="566" spans="1:9" ht="12.75" x14ac:dyDescent="0.2">
      <c r="A566" s="28"/>
      <c r="B566" s="29"/>
      <c r="C566" s="29"/>
      <c r="D566" s="29"/>
      <c r="E566" s="29"/>
      <c r="F566" s="28"/>
      <c r="G566" s="29"/>
      <c r="H566" s="29"/>
      <c r="I566" s="28"/>
    </row>
    <row r="567" spans="1:9" ht="12.75" x14ac:dyDescent="0.2">
      <c r="A567" s="28"/>
      <c r="B567" s="29"/>
      <c r="C567" s="29"/>
      <c r="D567" s="29"/>
      <c r="E567" s="29"/>
      <c r="F567" s="28"/>
      <c r="G567" s="29"/>
      <c r="H567" s="29"/>
      <c r="I567" s="28"/>
    </row>
    <row r="568" spans="1:9" ht="12.75" x14ac:dyDescent="0.2">
      <c r="A568" s="28"/>
      <c r="B568" s="29"/>
      <c r="C568" s="29"/>
      <c r="D568" s="29"/>
      <c r="E568" s="29"/>
      <c r="F568" s="28"/>
      <c r="G568" s="29"/>
      <c r="H568" s="29"/>
      <c r="I568" s="28"/>
    </row>
    <row r="569" spans="1:9" ht="12.75" x14ac:dyDescent="0.2">
      <c r="A569" s="28"/>
      <c r="B569" s="29"/>
      <c r="C569" s="29"/>
      <c r="D569" s="29"/>
      <c r="E569" s="29"/>
      <c r="F569" s="28"/>
      <c r="G569" s="29"/>
      <c r="H569" s="29"/>
      <c r="I569" s="28"/>
    </row>
    <row r="570" spans="1:9" ht="12.75" x14ac:dyDescent="0.2">
      <c r="A570" s="28"/>
      <c r="B570" s="29"/>
      <c r="C570" s="29"/>
      <c r="D570" s="29"/>
      <c r="E570" s="29"/>
      <c r="F570" s="28"/>
      <c r="G570" s="29"/>
      <c r="H570" s="29"/>
      <c r="I570" s="28"/>
    </row>
    <row r="571" spans="1:9" ht="12.75" x14ac:dyDescent="0.2">
      <c r="A571" s="28"/>
      <c r="B571" s="29"/>
      <c r="C571" s="29"/>
      <c r="D571" s="29"/>
      <c r="E571" s="29"/>
      <c r="F571" s="28"/>
      <c r="G571" s="29"/>
      <c r="H571" s="29"/>
      <c r="I571" s="28"/>
    </row>
    <row r="572" spans="1:9" ht="12.75" x14ac:dyDescent="0.2">
      <c r="A572" s="28"/>
      <c r="B572" s="29"/>
      <c r="C572" s="29"/>
      <c r="D572" s="29"/>
      <c r="E572" s="29"/>
      <c r="F572" s="28"/>
      <c r="G572" s="29"/>
      <c r="H572" s="29"/>
      <c r="I572" s="28"/>
    </row>
    <row r="573" spans="1:9" ht="12.75" x14ac:dyDescent="0.2">
      <c r="A573" s="28"/>
      <c r="B573" s="29"/>
      <c r="C573" s="29"/>
      <c r="D573" s="29"/>
      <c r="E573" s="29"/>
      <c r="F573" s="28"/>
      <c r="G573" s="29"/>
      <c r="H573" s="29"/>
      <c r="I573" s="28"/>
    </row>
    <row r="574" spans="1:9" ht="12.75" x14ac:dyDescent="0.2">
      <c r="A574" s="28"/>
      <c r="B574" s="29"/>
      <c r="C574" s="29"/>
      <c r="D574" s="29"/>
      <c r="E574" s="29"/>
      <c r="F574" s="28"/>
      <c r="G574" s="29"/>
      <c r="H574" s="29"/>
      <c r="I574" s="28"/>
    </row>
    <row r="575" spans="1:9" ht="12.75" x14ac:dyDescent="0.2">
      <c r="A575" s="28"/>
      <c r="B575" s="29"/>
      <c r="C575" s="29"/>
      <c r="D575" s="29"/>
      <c r="E575" s="29"/>
      <c r="F575" s="28"/>
      <c r="G575" s="29"/>
      <c r="H575" s="29"/>
      <c r="I575" s="28"/>
    </row>
    <row r="576" spans="1:9" ht="12.75" x14ac:dyDescent="0.2">
      <c r="A576" s="28"/>
      <c r="B576" s="29"/>
      <c r="C576" s="29"/>
      <c r="D576" s="29"/>
      <c r="E576" s="29"/>
      <c r="F576" s="28"/>
      <c r="G576" s="29"/>
      <c r="H576" s="29"/>
      <c r="I576" s="28"/>
    </row>
    <row r="577" spans="1:9" ht="12.75" x14ac:dyDescent="0.2">
      <c r="A577" s="28"/>
      <c r="B577" s="29"/>
      <c r="C577" s="29"/>
      <c r="D577" s="29"/>
      <c r="E577" s="29"/>
      <c r="F577" s="28"/>
      <c r="G577" s="29"/>
      <c r="H577" s="29"/>
      <c r="I577" s="28"/>
    </row>
    <row r="578" spans="1:9" ht="12.75" x14ac:dyDescent="0.2">
      <c r="A578" s="28"/>
      <c r="B578" s="29"/>
      <c r="C578" s="29"/>
      <c r="D578" s="29"/>
      <c r="E578" s="29"/>
      <c r="F578" s="28"/>
      <c r="G578" s="29"/>
      <c r="H578" s="29"/>
      <c r="I578" s="28"/>
    </row>
    <row r="579" spans="1:9" ht="12.75" x14ac:dyDescent="0.2">
      <c r="A579" s="28"/>
      <c r="B579" s="29"/>
      <c r="C579" s="29"/>
      <c r="D579" s="29"/>
      <c r="E579" s="29"/>
      <c r="F579" s="28"/>
      <c r="G579" s="29"/>
      <c r="H579" s="29"/>
      <c r="I579" s="28"/>
    </row>
    <row r="580" spans="1:9" ht="12.75" x14ac:dyDescent="0.2">
      <c r="A580" s="28"/>
      <c r="B580" s="29"/>
      <c r="C580" s="29"/>
      <c r="D580" s="29"/>
      <c r="E580" s="29"/>
      <c r="F580" s="28"/>
      <c r="G580" s="29"/>
      <c r="H580" s="29"/>
      <c r="I580" s="28"/>
    </row>
    <row r="581" spans="1:9" ht="12.75" x14ac:dyDescent="0.2">
      <c r="A581" s="28"/>
      <c r="B581" s="29"/>
      <c r="C581" s="29"/>
      <c r="D581" s="29"/>
      <c r="E581" s="29"/>
      <c r="F581" s="28"/>
      <c r="G581" s="29"/>
      <c r="H581" s="29"/>
      <c r="I581" s="28"/>
    </row>
    <row r="582" spans="1:9" ht="12.75" x14ac:dyDescent="0.2">
      <c r="A582" s="28"/>
      <c r="B582" s="29"/>
      <c r="C582" s="29"/>
      <c r="D582" s="29"/>
      <c r="E582" s="29"/>
      <c r="F582" s="28"/>
      <c r="G582" s="29"/>
      <c r="H582" s="29"/>
      <c r="I582" s="28"/>
    </row>
    <row r="583" spans="1:9" ht="12.75" x14ac:dyDescent="0.2">
      <c r="A583" s="28"/>
      <c r="B583" s="29"/>
      <c r="C583" s="29"/>
      <c r="D583" s="29"/>
      <c r="E583" s="29"/>
      <c r="F583" s="28"/>
      <c r="G583" s="29"/>
      <c r="H583" s="29"/>
      <c r="I583" s="28"/>
    </row>
    <row r="584" spans="1:9" ht="12.75" x14ac:dyDescent="0.2">
      <c r="A584" s="28"/>
      <c r="B584" s="29"/>
      <c r="C584" s="29"/>
      <c r="D584" s="29"/>
      <c r="E584" s="29"/>
      <c r="F584" s="28"/>
      <c r="G584" s="29"/>
      <c r="H584" s="29"/>
      <c r="I584" s="28"/>
    </row>
    <row r="585" spans="1:9" ht="12.75" x14ac:dyDescent="0.2">
      <c r="A585" s="28"/>
      <c r="B585" s="29"/>
      <c r="C585" s="29"/>
      <c r="D585" s="29"/>
      <c r="E585" s="29"/>
      <c r="F585" s="28"/>
      <c r="G585" s="29"/>
      <c r="H585" s="29"/>
      <c r="I585" s="28"/>
    </row>
    <row r="586" spans="1:9" ht="12.75" x14ac:dyDescent="0.2">
      <c r="A586" s="28"/>
      <c r="B586" s="29"/>
      <c r="C586" s="29"/>
      <c r="D586" s="29"/>
      <c r="E586" s="29"/>
      <c r="F586" s="28"/>
      <c r="G586" s="29"/>
      <c r="H586" s="29"/>
      <c r="I586" s="28"/>
    </row>
    <row r="587" spans="1:9" ht="12.75" x14ac:dyDescent="0.2">
      <c r="A587" s="28"/>
      <c r="B587" s="29"/>
      <c r="C587" s="29"/>
      <c r="D587" s="29"/>
      <c r="E587" s="29"/>
      <c r="F587" s="28"/>
      <c r="G587" s="29"/>
      <c r="H587" s="29"/>
      <c r="I587" s="28"/>
    </row>
    <row r="588" spans="1:9" ht="12.75" x14ac:dyDescent="0.2">
      <c r="A588" s="28"/>
      <c r="B588" s="29"/>
      <c r="C588" s="29"/>
      <c r="D588" s="29"/>
      <c r="E588" s="29"/>
      <c r="F588" s="28"/>
      <c r="G588" s="29"/>
      <c r="H588" s="29"/>
      <c r="I588" s="28"/>
    </row>
    <row r="589" spans="1:9" ht="12.75" x14ac:dyDescent="0.2">
      <c r="A589" s="28"/>
      <c r="B589" s="29"/>
      <c r="C589" s="29"/>
      <c r="D589" s="29"/>
      <c r="E589" s="29"/>
      <c r="F589" s="28"/>
      <c r="G589" s="29"/>
      <c r="H589" s="29"/>
      <c r="I589" s="28"/>
    </row>
    <row r="590" spans="1:9" ht="12.75" x14ac:dyDescent="0.2">
      <c r="A590" s="28"/>
      <c r="B590" s="29"/>
      <c r="C590" s="29"/>
      <c r="D590" s="29"/>
      <c r="E590" s="29"/>
      <c r="F590" s="28"/>
      <c r="G590" s="29"/>
      <c r="H590" s="29"/>
      <c r="I590" s="28"/>
    </row>
    <row r="591" spans="1:9" ht="12.75" x14ac:dyDescent="0.2">
      <c r="A591" s="28"/>
      <c r="B591" s="29"/>
      <c r="C591" s="29"/>
      <c r="D591" s="29"/>
      <c r="E591" s="29"/>
      <c r="F591" s="28"/>
      <c r="G591" s="29"/>
      <c r="H591" s="29"/>
      <c r="I591" s="28"/>
    </row>
    <row r="592" spans="1:9" ht="12.75" x14ac:dyDescent="0.2">
      <c r="A592" s="28"/>
      <c r="B592" s="29"/>
      <c r="C592" s="29"/>
      <c r="D592" s="29"/>
      <c r="E592" s="29"/>
      <c r="F592" s="28"/>
      <c r="G592" s="29"/>
      <c r="H592" s="29"/>
      <c r="I592" s="28"/>
    </row>
    <row r="593" spans="1:9" ht="12.75" x14ac:dyDescent="0.2">
      <c r="A593" s="28"/>
      <c r="B593" s="29"/>
      <c r="C593" s="29"/>
      <c r="D593" s="29"/>
      <c r="E593" s="29"/>
      <c r="F593" s="28"/>
      <c r="G593" s="29"/>
      <c r="H593" s="29"/>
      <c r="I593" s="28"/>
    </row>
    <row r="594" spans="1:9" ht="12.75" x14ac:dyDescent="0.2">
      <c r="A594" s="28"/>
      <c r="B594" s="29"/>
      <c r="C594" s="29"/>
      <c r="D594" s="29"/>
      <c r="E594" s="29"/>
      <c r="F594" s="28"/>
      <c r="G594" s="29"/>
      <c r="H594" s="29"/>
      <c r="I594" s="28"/>
    </row>
    <row r="595" spans="1:9" ht="12.75" x14ac:dyDescent="0.2">
      <c r="A595" s="28"/>
      <c r="B595" s="29"/>
      <c r="C595" s="29"/>
      <c r="D595" s="29"/>
      <c r="E595" s="29"/>
      <c r="F595" s="28"/>
      <c r="G595" s="29"/>
      <c r="H595" s="29"/>
      <c r="I595" s="28"/>
    </row>
    <row r="596" spans="1:9" ht="12.75" x14ac:dyDescent="0.2">
      <c r="A596" s="28"/>
      <c r="B596" s="29"/>
      <c r="C596" s="29"/>
      <c r="D596" s="29"/>
      <c r="E596" s="29"/>
      <c r="F596" s="28"/>
      <c r="G596" s="29"/>
      <c r="H596" s="29"/>
      <c r="I596" s="28"/>
    </row>
    <row r="597" spans="1:9" ht="12.75" x14ac:dyDescent="0.2">
      <c r="A597" s="28"/>
      <c r="B597" s="29"/>
      <c r="C597" s="29"/>
      <c r="D597" s="29"/>
      <c r="E597" s="29"/>
      <c r="F597" s="28"/>
      <c r="G597" s="29"/>
      <c r="H597" s="29"/>
      <c r="I597" s="28"/>
    </row>
    <row r="598" spans="1:9" ht="12.75" x14ac:dyDescent="0.2">
      <c r="A598" s="28"/>
      <c r="B598" s="29"/>
      <c r="C598" s="29"/>
      <c r="D598" s="29"/>
      <c r="E598" s="29"/>
      <c r="F598" s="28"/>
      <c r="G598" s="29"/>
      <c r="H598" s="29"/>
      <c r="I598" s="28"/>
    </row>
    <row r="599" spans="1:9" ht="12.75" x14ac:dyDescent="0.2">
      <c r="A599" s="28"/>
      <c r="B599" s="29"/>
      <c r="C599" s="29"/>
      <c r="D599" s="29"/>
      <c r="E599" s="29"/>
      <c r="F599" s="28"/>
      <c r="G599" s="29"/>
      <c r="H599" s="29"/>
      <c r="I599" s="28"/>
    </row>
    <row r="600" spans="1:9" ht="12.75" x14ac:dyDescent="0.2">
      <c r="A600" s="28"/>
      <c r="B600" s="29"/>
      <c r="C600" s="29"/>
      <c r="D600" s="29"/>
      <c r="E600" s="29"/>
      <c r="F600" s="28"/>
      <c r="G600" s="29"/>
      <c r="H600" s="29"/>
      <c r="I600" s="28"/>
    </row>
    <row r="601" spans="1:9" ht="12.75" x14ac:dyDescent="0.2">
      <c r="A601" s="28"/>
      <c r="B601" s="29"/>
      <c r="C601" s="29"/>
      <c r="D601" s="29"/>
      <c r="E601" s="29"/>
      <c r="F601" s="28"/>
      <c r="G601" s="29"/>
      <c r="H601" s="29"/>
      <c r="I601" s="28"/>
    </row>
    <row r="602" spans="1:9" ht="12.75" x14ac:dyDescent="0.2">
      <c r="A602" s="28"/>
      <c r="B602" s="29"/>
      <c r="C602" s="29"/>
      <c r="D602" s="29"/>
      <c r="E602" s="29"/>
      <c r="F602" s="28"/>
      <c r="G602" s="29"/>
      <c r="H602" s="29"/>
      <c r="I602" s="28"/>
    </row>
    <row r="603" spans="1:9" ht="12.75" x14ac:dyDescent="0.2">
      <c r="A603" s="28"/>
      <c r="B603" s="29"/>
      <c r="C603" s="29"/>
      <c r="D603" s="29"/>
      <c r="E603" s="29"/>
      <c r="F603" s="28"/>
      <c r="G603" s="29"/>
      <c r="H603" s="29"/>
      <c r="I603" s="28"/>
    </row>
    <row r="604" spans="1:9" ht="12.75" x14ac:dyDescent="0.2">
      <c r="A604" s="28"/>
      <c r="B604" s="29"/>
      <c r="C604" s="29"/>
      <c r="D604" s="29"/>
      <c r="E604" s="29"/>
      <c r="F604" s="28"/>
      <c r="G604" s="29"/>
      <c r="H604" s="29"/>
      <c r="I604" s="28"/>
    </row>
    <row r="605" spans="1:9" ht="12.75" x14ac:dyDescent="0.2">
      <c r="A605" s="28"/>
      <c r="B605" s="29"/>
      <c r="C605" s="29"/>
      <c r="D605" s="29"/>
      <c r="E605" s="29"/>
      <c r="F605" s="28"/>
      <c r="G605" s="29"/>
      <c r="H605" s="29"/>
      <c r="I605" s="28"/>
    </row>
    <row r="606" spans="1:9" ht="12.75" x14ac:dyDescent="0.2">
      <c r="A606" s="28"/>
      <c r="B606" s="29"/>
      <c r="C606" s="29"/>
      <c r="D606" s="29"/>
      <c r="E606" s="29"/>
      <c r="F606" s="28"/>
      <c r="G606" s="29"/>
      <c r="H606" s="29"/>
      <c r="I606" s="28"/>
    </row>
    <row r="607" spans="1:9" ht="12.75" x14ac:dyDescent="0.2">
      <c r="A607" s="28"/>
      <c r="B607" s="29"/>
      <c r="C607" s="29"/>
      <c r="D607" s="29"/>
      <c r="E607" s="29"/>
      <c r="F607" s="28"/>
      <c r="G607" s="29"/>
      <c r="H607" s="29"/>
      <c r="I607" s="28"/>
    </row>
    <row r="608" spans="1:9" ht="12.75" x14ac:dyDescent="0.2">
      <c r="A608" s="28"/>
      <c r="B608" s="29"/>
      <c r="C608" s="29"/>
      <c r="D608" s="29"/>
      <c r="E608" s="29"/>
      <c r="F608" s="28"/>
      <c r="G608" s="29"/>
      <c r="H608" s="29"/>
      <c r="I608" s="28"/>
    </row>
    <row r="609" spans="1:9" ht="12.75" x14ac:dyDescent="0.2">
      <c r="A609" s="28"/>
      <c r="B609" s="29"/>
      <c r="C609" s="29"/>
      <c r="D609" s="29"/>
      <c r="E609" s="29"/>
      <c r="F609" s="28"/>
      <c r="G609" s="29"/>
      <c r="H609" s="29"/>
      <c r="I609" s="28"/>
    </row>
    <row r="610" spans="1:9" ht="12.75" x14ac:dyDescent="0.2">
      <c r="A610" s="28"/>
      <c r="B610" s="29"/>
      <c r="C610" s="29"/>
      <c r="D610" s="29"/>
      <c r="E610" s="29"/>
      <c r="F610" s="28"/>
      <c r="G610" s="29"/>
      <c r="H610" s="29"/>
      <c r="I610" s="28"/>
    </row>
    <row r="611" spans="1:9" ht="12.75" x14ac:dyDescent="0.2">
      <c r="A611" s="28"/>
      <c r="B611" s="29"/>
      <c r="C611" s="29"/>
      <c r="D611" s="29"/>
      <c r="E611" s="29"/>
      <c r="F611" s="28"/>
      <c r="G611" s="29"/>
      <c r="H611" s="29"/>
      <c r="I611" s="28"/>
    </row>
    <row r="612" spans="1:9" ht="12.75" x14ac:dyDescent="0.2">
      <c r="A612" s="28"/>
      <c r="B612" s="29"/>
      <c r="C612" s="29"/>
      <c r="D612" s="29"/>
      <c r="E612" s="29"/>
      <c r="F612" s="28"/>
      <c r="G612" s="29"/>
      <c r="H612" s="29"/>
      <c r="I612" s="28"/>
    </row>
    <row r="613" spans="1:9" ht="12.75" x14ac:dyDescent="0.2">
      <c r="A613" s="28"/>
      <c r="B613" s="29"/>
      <c r="C613" s="29"/>
      <c r="D613" s="29"/>
      <c r="E613" s="29"/>
      <c r="F613" s="28"/>
      <c r="G613" s="29"/>
      <c r="H613" s="29"/>
      <c r="I613" s="28"/>
    </row>
    <row r="614" spans="1:9" ht="12.75" x14ac:dyDescent="0.2">
      <c r="A614" s="28"/>
      <c r="B614" s="29"/>
      <c r="C614" s="29"/>
      <c r="D614" s="29"/>
      <c r="E614" s="29"/>
      <c r="F614" s="28"/>
      <c r="G614" s="29"/>
      <c r="H614" s="29"/>
      <c r="I614" s="28"/>
    </row>
    <row r="615" spans="1:9" ht="12.75" x14ac:dyDescent="0.2">
      <c r="A615" s="28"/>
      <c r="B615" s="29"/>
      <c r="C615" s="29"/>
      <c r="D615" s="29"/>
      <c r="E615" s="29"/>
      <c r="F615" s="28"/>
      <c r="G615" s="29"/>
      <c r="H615" s="29"/>
      <c r="I615" s="28"/>
    </row>
    <row r="616" spans="1:9" ht="12.75" x14ac:dyDescent="0.2">
      <c r="A616" s="28"/>
      <c r="B616" s="29"/>
      <c r="C616" s="29"/>
      <c r="D616" s="29"/>
      <c r="E616" s="29"/>
      <c r="F616" s="28"/>
      <c r="G616" s="29"/>
      <c r="H616" s="29"/>
      <c r="I616" s="28"/>
    </row>
    <row r="617" spans="1:9" ht="12.75" x14ac:dyDescent="0.2">
      <c r="A617" s="28"/>
      <c r="B617" s="29"/>
      <c r="C617" s="29"/>
      <c r="D617" s="29"/>
      <c r="E617" s="29"/>
      <c r="F617" s="28"/>
      <c r="G617" s="29"/>
      <c r="H617" s="29"/>
      <c r="I617" s="28"/>
    </row>
    <row r="618" spans="1:9" ht="12.75" x14ac:dyDescent="0.2">
      <c r="A618" s="28"/>
      <c r="B618" s="29"/>
      <c r="C618" s="29"/>
      <c r="D618" s="29"/>
      <c r="E618" s="29"/>
      <c r="F618" s="28"/>
      <c r="G618" s="29"/>
      <c r="H618" s="29"/>
      <c r="I618" s="28"/>
    </row>
    <row r="619" spans="1:9" ht="12.75" x14ac:dyDescent="0.2">
      <c r="A619" s="28"/>
      <c r="B619" s="29"/>
      <c r="C619" s="29"/>
      <c r="D619" s="29"/>
      <c r="E619" s="29"/>
      <c r="F619" s="28"/>
      <c r="G619" s="29"/>
      <c r="H619" s="29"/>
      <c r="I619" s="28"/>
    </row>
    <row r="620" spans="1:9" ht="12.75" x14ac:dyDescent="0.2">
      <c r="A620" s="28"/>
      <c r="B620" s="29"/>
      <c r="C620" s="29"/>
      <c r="D620" s="29"/>
      <c r="E620" s="29"/>
      <c r="F620" s="28"/>
      <c r="G620" s="29"/>
      <c r="H620" s="29"/>
      <c r="I620" s="28"/>
    </row>
    <row r="621" spans="1:9" ht="12.75" x14ac:dyDescent="0.2">
      <c r="A621" s="28"/>
      <c r="B621" s="29"/>
      <c r="C621" s="29"/>
      <c r="D621" s="29"/>
      <c r="E621" s="29"/>
      <c r="F621" s="28"/>
      <c r="G621" s="29"/>
      <c r="H621" s="29"/>
      <c r="I621" s="28"/>
    </row>
    <row r="622" spans="1:9" ht="12.75" x14ac:dyDescent="0.2">
      <c r="A622" s="28"/>
      <c r="B622" s="29"/>
      <c r="C622" s="29"/>
      <c r="D622" s="29"/>
      <c r="E622" s="29"/>
      <c r="F622" s="28"/>
      <c r="G622" s="29"/>
      <c r="H622" s="29"/>
      <c r="I622" s="28"/>
    </row>
    <row r="623" spans="1:9" ht="12.75" x14ac:dyDescent="0.2">
      <c r="A623" s="28"/>
      <c r="B623" s="29"/>
      <c r="C623" s="29"/>
      <c r="D623" s="29"/>
      <c r="E623" s="29"/>
      <c r="F623" s="28"/>
      <c r="G623" s="29"/>
      <c r="H623" s="29"/>
      <c r="I623" s="28"/>
    </row>
    <row r="624" spans="1:9" ht="12.75" x14ac:dyDescent="0.2">
      <c r="A624" s="28"/>
      <c r="B624" s="29"/>
      <c r="C624" s="29"/>
      <c r="D624" s="29"/>
      <c r="E624" s="29"/>
      <c r="F624" s="28"/>
      <c r="G624" s="29"/>
      <c r="H624" s="29"/>
      <c r="I624" s="28"/>
    </row>
    <row r="625" spans="1:9" ht="12.75" x14ac:dyDescent="0.2">
      <c r="A625" s="28"/>
      <c r="B625" s="29"/>
      <c r="C625" s="29"/>
      <c r="D625" s="29"/>
      <c r="E625" s="29"/>
      <c r="F625" s="28"/>
      <c r="G625" s="29"/>
      <c r="H625" s="29"/>
      <c r="I625" s="28"/>
    </row>
    <row r="626" spans="1:9" ht="12.75" x14ac:dyDescent="0.2">
      <c r="A626" s="28"/>
      <c r="B626" s="29"/>
      <c r="C626" s="29"/>
      <c r="D626" s="29"/>
      <c r="E626" s="29"/>
      <c r="F626" s="28"/>
      <c r="G626" s="29"/>
      <c r="H626" s="29"/>
      <c r="I626" s="28"/>
    </row>
    <row r="627" spans="1:9" ht="12.75" x14ac:dyDescent="0.2">
      <c r="A627" s="28"/>
      <c r="B627" s="29"/>
      <c r="C627" s="29"/>
      <c r="D627" s="29"/>
      <c r="E627" s="29"/>
      <c r="F627" s="28"/>
      <c r="G627" s="29"/>
      <c r="H627" s="29"/>
      <c r="I627" s="28"/>
    </row>
    <row r="628" spans="1:9" ht="12.75" x14ac:dyDescent="0.2">
      <c r="A628" s="28"/>
      <c r="B628" s="29"/>
      <c r="C628" s="29"/>
      <c r="D628" s="29"/>
      <c r="E628" s="29"/>
      <c r="F628" s="28"/>
      <c r="G628" s="29"/>
      <c r="H628" s="29"/>
      <c r="I628" s="28"/>
    </row>
    <row r="629" spans="1:9" ht="12.75" x14ac:dyDescent="0.2">
      <c r="A629" s="28"/>
      <c r="B629" s="29"/>
      <c r="C629" s="29"/>
      <c r="D629" s="29"/>
      <c r="E629" s="29"/>
      <c r="F629" s="28"/>
      <c r="G629" s="29"/>
      <c r="H629" s="29"/>
      <c r="I629" s="28"/>
    </row>
    <row r="630" spans="1:9" ht="12.75" x14ac:dyDescent="0.2">
      <c r="A630" s="28"/>
      <c r="B630" s="29"/>
      <c r="C630" s="29"/>
      <c r="D630" s="29"/>
      <c r="E630" s="29"/>
      <c r="F630" s="28"/>
      <c r="G630" s="29"/>
      <c r="H630" s="29"/>
      <c r="I630" s="28"/>
    </row>
    <row r="631" spans="1:9" ht="12.75" x14ac:dyDescent="0.2">
      <c r="A631" s="28"/>
      <c r="B631" s="29"/>
      <c r="C631" s="29"/>
      <c r="D631" s="29"/>
      <c r="E631" s="29"/>
      <c r="F631" s="28"/>
      <c r="G631" s="29"/>
      <c r="H631" s="29"/>
      <c r="I631" s="28"/>
    </row>
    <row r="632" spans="1:9" ht="12.75" x14ac:dyDescent="0.2">
      <c r="A632" s="28"/>
      <c r="B632" s="29"/>
      <c r="C632" s="29"/>
      <c r="D632" s="29"/>
      <c r="E632" s="29"/>
      <c r="F632" s="28"/>
      <c r="G632" s="29"/>
      <c r="H632" s="29"/>
      <c r="I632" s="28"/>
    </row>
    <row r="633" spans="1:9" ht="12.75" x14ac:dyDescent="0.2">
      <c r="A633" s="28"/>
      <c r="B633" s="29"/>
      <c r="C633" s="29"/>
      <c r="D633" s="29"/>
      <c r="E633" s="29"/>
      <c r="F633" s="28"/>
      <c r="G633" s="29"/>
      <c r="H633" s="29"/>
      <c r="I633" s="28"/>
    </row>
    <row r="634" spans="1:9" ht="12.75" x14ac:dyDescent="0.2">
      <c r="A634" s="28"/>
      <c r="B634" s="29"/>
      <c r="C634" s="29"/>
      <c r="D634" s="29"/>
      <c r="E634" s="29"/>
      <c r="F634" s="28"/>
      <c r="G634" s="29"/>
      <c r="H634" s="29"/>
      <c r="I634" s="28"/>
    </row>
    <row r="635" spans="1:9" ht="12.75" x14ac:dyDescent="0.2">
      <c r="A635" s="28"/>
      <c r="B635" s="29"/>
      <c r="C635" s="29"/>
      <c r="D635" s="29"/>
      <c r="E635" s="29"/>
      <c r="F635" s="28"/>
      <c r="G635" s="29"/>
      <c r="H635" s="29"/>
      <c r="I635" s="28"/>
    </row>
    <row r="636" spans="1:9" ht="12.75" x14ac:dyDescent="0.2">
      <c r="A636" s="28"/>
      <c r="B636" s="29"/>
      <c r="C636" s="29"/>
      <c r="D636" s="29"/>
      <c r="E636" s="29"/>
      <c r="F636" s="28"/>
      <c r="G636" s="29"/>
      <c r="H636" s="29"/>
      <c r="I636" s="28"/>
    </row>
    <row r="637" spans="1:9" ht="12.75" x14ac:dyDescent="0.2">
      <c r="A637" s="28"/>
      <c r="B637" s="29"/>
      <c r="C637" s="29"/>
      <c r="D637" s="29"/>
      <c r="E637" s="29"/>
      <c r="F637" s="28"/>
      <c r="G637" s="29"/>
      <c r="H637" s="29"/>
      <c r="I637" s="28"/>
    </row>
    <row r="638" spans="1:9" ht="12.75" x14ac:dyDescent="0.2">
      <c r="A638" s="28"/>
      <c r="B638" s="29"/>
      <c r="C638" s="29"/>
      <c r="D638" s="29"/>
      <c r="E638" s="29"/>
      <c r="F638" s="28"/>
      <c r="G638" s="29"/>
      <c r="H638" s="29"/>
      <c r="I638" s="28"/>
    </row>
    <row r="639" spans="1:9" ht="12.75" x14ac:dyDescent="0.2">
      <c r="A639" s="28"/>
      <c r="B639" s="29"/>
      <c r="C639" s="29"/>
      <c r="D639" s="29"/>
      <c r="E639" s="29"/>
      <c r="F639" s="28"/>
      <c r="G639" s="29"/>
      <c r="H639" s="29"/>
      <c r="I639" s="28"/>
    </row>
    <row r="640" spans="1:9" ht="12.75" x14ac:dyDescent="0.2">
      <c r="A640" s="28"/>
      <c r="B640" s="29"/>
      <c r="C640" s="29"/>
      <c r="D640" s="29"/>
      <c r="E640" s="29"/>
      <c r="F640" s="28"/>
      <c r="G640" s="29"/>
      <c r="H640" s="29"/>
      <c r="I640" s="28"/>
    </row>
    <row r="641" spans="1:9" ht="12.75" x14ac:dyDescent="0.2">
      <c r="A641" s="28"/>
      <c r="B641" s="29"/>
      <c r="C641" s="29"/>
      <c r="D641" s="29"/>
      <c r="E641" s="29"/>
      <c r="F641" s="28"/>
      <c r="G641" s="29"/>
      <c r="H641" s="29"/>
      <c r="I641" s="28"/>
    </row>
    <row r="642" spans="1:9" ht="12.75" x14ac:dyDescent="0.2">
      <c r="A642" s="28"/>
      <c r="B642" s="29"/>
      <c r="C642" s="29"/>
      <c r="D642" s="29"/>
      <c r="E642" s="29"/>
      <c r="F642" s="28"/>
      <c r="G642" s="29"/>
      <c r="H642" s="29"/>
      <c r="I642" s="28"/>
    </row>
    <row r="643" spans="1:9" ht="12.75" x14ac:dyDescent="0.2">
      <c r="A643" s="28"/>
      <c r="B643" s="29"/>
      <c r="C643" s="29"/>
      <c r="D643" s="29"/>
      <c r="E643" s="29"/>
      <c r="F643" s="28"/>
      <c r="G643" s="29"/>
      <c r="H643" s="29"/>
      <c r="I643" s="28"/>
    </row>
    <row r="644" spans="1:9" ht="12.75" x14ac:dyDescent="0.2">
      <c r="A644" s="28"/>
      <c r="B644" s="29"/>
      <c r="C644" s="29"/>
      <c r="D644" s="29"/>
      <c r="E644" s="29"/>
      <c r="F644" s="28"/>
      <c r="G644" s="29"/>
      <c r="H644" s="29"/>
      <c r="I644" s="28"/>
    </row>
    <row r="645" spans="1:9" ht="12.75" x14ac:dyDescent="0.2">
      <c r="A645" s="28"/>
      <c r="B645" s="29"/>
      <c r="C645" s="29"/>
      <c r="D645" s="29"/>
      <c r="E645" s="29"/>
      <c r="F645" s="28"/>
      <c r="G645" s="29"/>
      <c r="H645" s="29"/>
      <c r="I645" s="28"/>
    </row>
    <row r="646" spans="1:9" ht="12.75" x14ac:dyDescent="0.2">
      <c r="A646" s="28"/>
      <c r="B646" s="29"/>
      <c r="C646" s="29"/>
      <c r="D646" s="29"/>
      <c r="E646" s="29"/>
      <c r="F646" s="28"/>
      <c r="G646" s="29"/>
      <c r="H646" s="29"/>
      <c r="I646" s="28"/>
    </row>
    <row r="647" spans="1:9" ht="12.75" x14ac:dyDescent="0.2">
      <c r="A647" s="28"/>
      <c r="B647" s="29"/>
      <c r="C647" s="29"/>
      <c r="D647" s="29"/>
      <c r="E647" s="29"/>
      <c r="F647" s="28"/>
      <c r="G647" s="29"/>
      <c r="H647" s="29"/>
      <c r="I647" s="28"/>
    </row>
    <row r="648" spans="1:9" ht="12.75" x14ac:dyDescent="0.2">
      <c r="A648" s="28"/>
      <c r="B648" s="29"/>
      <c r="C648" s="29"/>
      <c r="D648" s="29"/>
      <c r="E648" s="29"/>
      <c r="F648" s="28"/>
      <c r="G648" s="29"/>
      <c r="H648" s="29"/>
      <c r="I648" s="28"/>
    </row>
    <row r="649" spans="1:9" ht="12.75" x14ac:dyDescent="0.2">
      <c r="A649" s="28"/>
      <c r="B649" s="29"/>
      <c r="C649" s="29"/>
      <c r="D649" s="29"/>
      <c r="E649" s="29"/>
      <c r="F649" s="28"/>
      <c r="G649" s="29"/>
      <c r="H649" s="29"/>
      <c r="I649" s="28"/>
    </row>
    <row r="650" spans="1:9" ht="12.75" x14ac:dyDescent="0.2">
      <c r="A650" s="28"/>
      <c r="B650" s="29"/>
      <c r="C650" s="29"/>
      <c r="D650" s="29"/>
      <c r="E650" s="29"/>
      <c r="F650" s="28"/>
      <c r="G650" s="29"/>
      <c r="H650" s="29"/>
      <c r="I650" s="28"/>
    </row>
    <row r="651" spans="1:9" ht="12.75" x14ac:dyDescent="0.2">
      <c r="A651" s="28"/>
      <c r="B651" s="29"/>
      <c r="C651" s="29"/>
      <c r="D651" s="29"/>
      <c r="E651" s="29"/>
      <c r="F651" s="28"/>
      <c r="G651" s="29"/>
      <c r="H651" s="29"/>
      <c r="I651" s="28"/>
    </row>
    <row r="652" spans="1:9" ht="12.75" x14ac:dyDescent="0.2">
      <c r="A652" s="28"/>
      <c r="B652" s="29"/>
      <c r="C652" s="29"/>
      <c r="D652" s="29"/>
      <c r="E652" s="29"/>
      <c r="F652" s="28"/>
      <c r="G652" s="29"/>
      <c r="H652" s="29"/>
      <c r="I652" s="28"/>
    </row>
    <row r="653" spans="1:9" ht="12.75" x14ac:dyDescent="0.2">
      <c r="A653" s="28"/>
      <c r="B653" s="29"/>
      <c r="C653" s="29"/>
      <c r="D653" s="29"/>
      <c r="E653" s="29"/>
      <c r="F653" s="28"/>
      <c r="G653" s="29"/>
      <c r="H653" s="29"/>
      <c r="I653" s="28"/>
    </row>
    <row r="654" spans="1:9" ht="12.75" x14ac:dyDescent="0.2">
      <c r="A654" s="28"/>
      <c r="B654" s="29"/>
      <c r="C654" s="29"/>
      <c r="D654" s="29"/>
      <c r="E654" s="29"/>
      <c r="F654" s="28"/>
      <c r="G654" s="29"/>
      <c r="H654" s="29"/>
      <c r="I654" s="28"/>
    </row>
    <row r="655" spans="1:9" ht="12.75" x14ac:dyDescent="0.2">
      <c r="A655" s="28"/>
      <c r="B655" s="29"/>
      <c r="C655" s="29"/>
      <c r="D655" s="29"/>
      <c r="E655" s="29"/>
      <c r="F655" s="28"/>
      <c r="G655" s="29"/>
      <c r="H655" s="29"/>
      <c r="I655" s="28"/>
    </row>
    <row r="656" spans="1:9" ht="12.75" x14ac:dyDescent="0.2">
      <c r="A656" s="28"/>
      <c r="B656" s="29"/>
      <c r="C656" s="29"/>
      <c r="D656" s="29"/>
      <c r="E656" s="29"/>
      <c r="F656" s="28"/>
      <c r="G656" s="29"/>
      <c r="H656" s="29"/>
      <c r="I656" s="28"/>
    </row>
    <row r="657" spans="1:9" ht="12.75" x14ac:dyDescent="0.2">
      <c r="A657" s="28"/>
      <c r="B657" s="29"/>
      <c r="C657" s="29"/>
      <c r="D657" s="29"/>
      <c r="E657" s="29"/>
      <c r="F657" s="28"/>
      <c r="G657" s="29"/>
      <c r="H657" s="29"/>
      <c r="I657" s="28"/>
    </row>
    <row r="658" spans="1:9" ht="12.75" x14ac:dyDescent="0.2">
      <c r="A658" s="28"/>
      <c r="B658" s="29"/>
      <c r="C658" s="29"/>
      <c r="D658" s="29"/>
      <c r="E658" s="29"/>
      <c r="F658" s="28"/>
      <c r="G658" s="29"/>
      <c r="H658" s="29"/>
      <c r="I658" s="28"/>
    </row>
    <row r="659" spans="1:9" ht="12.75" x14ac:dyDescent="0.2">
      <c r="A659" s="28"/>
      <c r="B659" s="29"/>
      <c r="C659" s="29"/>
      <c r="D659" s="29"/>
      <c r="E659" s="29"/>
      <c r="F659" s="28"/>
      <c r="G659" s="29"/>
      <c r="H659" s="29"/>
      <c r="I659" s="28"/>
    </row>
    <row r="660" spans="1:9" ht="12.75" x14ac:dyDescent="0.2">
      <c r="A660" s="28"/>
      <c r="B660" s="29"/>
      <c r="C660" s="29"/>
      <c r="D660" s="29"/>
      <c r="E660" s="29"/>
      <c r="F660" s="28"/>
      <c r="G660" s="29"/>
      <c r="H660" s="29"/>
      <c r="I660" s="28"/>
    </row>
    <row r="661" spans="1:9" ht="12.75" x14ac:dyDescent="0.2">
      <c r="A661" s="28"/>
      <c r="B661" s="29"/>
      <c r="C661" s="29"/>
      <c r="D661" s="29"/>
      <c r="E661" s="29"/>
      <c r="F661" s="28"/>
      <c r="G661" s="29"/>
      <c r="H661" s="29"/>
      <c r="I661" s="28"/>
    </row>
    <row r="662" spans="1:9" ht="12.75" x14ac:dyDescent="0.2">
      <c r="A662" s="28"/>
      <c r="B662" s="29"/>
      <c r="C662" s="29"/>
      <c r="D662" s="29"/>
      <c r="E662" s="29"/>
      <c r="F662" s="28"/>
      <c r="G662" s="29"/>
      <c r="H662" s="29"/>
      <c r="I662" s="28"/>
    </row>
    <row r="663" spans="1:9" ht="12.75" x14ac:dyDescent="0.2">
      <c r="A663" s="28"/>
      <c r="B663" s="29"/>
      <c r="C663" s="29"/>
      <c r="D663" s="29"/>
      <c r="E663" s="29"/>
      <c r="F663" s="28"/>
      <c r="G663" s="29"/>
      <c r="H663" s="29"/>
      <c r="I663" s="28"/>
    </row>
    <row r="664" spans="1:9" ht="12.75" x14ac:dyDescent="0.2">
      <c r="A664" s="28"/>
      <c r="B664" s="29"/>
      <c r="C664" s="29"/>
      <c r="D664" s="29"/>
      <c r="E664" s="29"/>
      <c r="F664" s="28"/>
      <c r="G664" s="29"/>
      <c r="H664" s="29"/>
      <c r="I664" s="28"/>
    </row>
    <row r="665" spans="1:9" ht="12.75" x14ac:dyDescent="0.2">
      <c r="A665" s="28"/>
      <c r="B665" s="29"/>
      <c r="C665" s="29"/>
      <c r="D665" s="29"/>
      <c r="E665" s="29"/>
      <c r="F665" s="28"/>
      <c r="G665" s="29"/>
      <c r="H665" s="29"/>
      <c r="I665" s="28"/>
    </row>
    <row r="666" spans="1:9" ht="12.75" x14ac:dyDescent="0.2">
      <c r="A666" s="28"/>
      <c r="B666" s="29"/>
      <c r="C666" s="29"/>
      <c r="D666" s="29"/>
      <c r="E666" s="29"/>
      <c r="F666" s="28"/>
      <c r="G666" s="29"/>
      <c r="H666" s="29"/>
      <c r="I666" s="28"/>
    </row>
    <row r="667" spans="1:9" ht="12.75" x14ac:dyDescent="0.2">
      <c r="A667" s="28"/>
      <c r="B667" s="29"/>
      <c r="C667" s="29"/>
      <c r="D667" s="29"/>
      <c r="E667" s="29"/>
      <c r="F667" s="28"/>
      <c r="G667" s="29"/>
      <c r="H667" s="29"/>
      <c r="I667" s="28"/>
    </row>
    <row r="668" spans="1:9" ht="12.75" x14ac:dyDescent="0.2">
      <c r="A668" s="28"/>
      <c r="B668" s="29"/>
      <c r="C668" s="29"/>
      <c r="D668" s="29"/>
      <c r="E668" s="29"/>
      <c r="F668" s="28"/>
      <c r="G668" s="29"/>
      <c r="H668" s="29"/>
      <c r="I668" s="28"/>
    </row>
    <row r="669" spans="1:9" ht="12.75" x14ac:dyDescent="0.2">
      <c r="A669" s="28"/>
      <c r="B669" s="29"/>
      <c r="C669" s="29"/>
      <c r="D669" s="29"/>
      <c r="E669" s="29"/>
      <c r="F669" s="28"/>
      <c r="G669" s="29"/>
      <c r="H669" s="29"/>
      <c r="I669" s="28"/>
    </row>
    <row r="670" spans="1:9" ht="12.75" x14ac:dyDescent="0.2">
      <c r="A670" s="28"/>
      <c r="B670" s="29"/>
      <c r="C670" s="29"/>
      <c r="D670" s="29"/>
      <c r="E670" s="29"/>
      <c r="F670" s="28"/>
      <c r="G670" s="29"/>
      <c r="H670" s="29"/>
      <c r="I670" s="28"/>
    </row>
    <row r="671" spans="1:9" ht="12.75" x14ac:dyDescent="0.2">
      <c r="A671" s="28"/>
      <c r="B671" s="29"/>
      <c r="C671" s="29"/>
      <c r="D671" s="29"/>
      <c r="E671" s="29"/>
      <c r="F671" s="28"/>
      <c r="G671" s="29"/>
      <c r="H671" s="29"/>
      <c r="I671" s="28"/>
    </row>
    <row r="672" spans="1:9" ht="12.75" x14ac:dyDescent="0.2">
      <c r="A672" s="28"/>
      <c r="B672" s="29"/>
      <c r="C672" s="29"/>
      <c r="D672" s="29"/>
      <c r="E672" s="29"/>
      <c r="F672" s="28"/>
      <c r="G672" s="29"/>
      <c r="H672" s="29"/>
      <c r="I672" s="28"/>
    </row>
    <row r="673" spans="1:9" ht="12.75" x14ac:dyDescent="0.2">
      <c r="A673" s="28"/>
      <c r="B673" s="29"/>
      <c r="C673" s="29"/>
      <c r="D673" s="29"/>
      <c r="E673" s="29"/>
      <c r="F673" s="28"/>
      <c r="G673" s="29"/>
      <c r="H673" s="29"/>
      <c r="I673" s="28"/>
    </row>
    <row r="674" spans="1:9" ht="12.75" x14ac:dyDescent="0.2">
      <c r="A674" s="28"/>
      <c r="B674" s="29"/>
      <c r="C674" s="29"/>
      <c r="D674" s="29"/>
      <c r="E674" s="29"/>
      <c r="F674" s="28"/>
      <c r="G674" s="29"/>
      <c r="H674" s="29"/>
      <c r="I674" s="28"/>
    </row>
    <row r="675" spans="1:9" ht="12.75" x14ac:dyDescent="0.2">
      <c r="A675" s="28"/>
      <c r="B675" s="29"/>
      <c r="C675" s="29"/>
      <c r="D675" s="29"/>
      <c r="E675" s="29"/>
      <c r="F675" s="28"/>
      <c r="G675" s="29"/>
      <c r="H675" s="29"/>
      <c r="I675" s="28"/>
    </row>
    <row r="676" spans="1:9" ht="12.75" x14ac:dyDescent="0.2">
      <c r="A676" s="28"/>
      <c r="B676" s="29"/>
      <c r="C676" s="29"/>
      <c r="D676" s="29"/>
      <c r="E676" s="29"/>
      <c r="F676" s="28"/>
      <c r="G676" s="29"/>
      <c r="H676" s="29"/>
      <c r="I676" s="28"/>
    </row>
    <row r="677" spans="1:9" ht="12.75" x14ac:dyDescent="0.2">
      <c r="A677" s="28"/>
      <c r="B677" s="29"/>
      <c r="C677" s="29"/>
      <c r="D677" s="29"/>
      <c r="E677" s="29"/>
      <c r="F677" s="28"/>
      <c r="G677" s="29"/>
      <c r="H677" s="29"/>
      <c r="I677" s="28"/>
    </row>
    <row r="678" spans="1:9" ht="12.75" x14ac:dyDescent="0.2">
      <c r="A678" s="28"/>
      <c r="B678" s="29"/>
      <c r="C678" s="29"/>
      <c r="D678" s="29"/>
      <c r="E678" s="29"/>
      <c r="F678" s="28"/>
      <c r="G678" s="29"/>
      <c r="H678" s="29"/>
      <c r="I678" s="28"/>
    </row>
    <row r="679" spans="1:9" ht="12.75" x14ac:dyDescent="0.2">
      <c r="A679" s="28"/>
      <c r="B679" s="29"/>
      <c r="C679" s="29"/>
      <c r="D679" s="29"/>
      <c r="E679" s="29"/>
      <c r="F679" s="28"/>
      <c r="G679" s="29"/>
      <c r="H679" s="29"/>
      <c r="I679" s="28"/>
    </row>
    <row r="680" spans="1:9" ht="12.75" x14ac:dyDescent="0.2">
      <c r="A680" s="28"/>
      <c r="B680" s="29"/>
      <c r="C680" s="29"/>
      <c r="D680" s="29"/>
      <c r="E680" s="29"/>
      <c r="F680" s="28"/>
      <c r="G680" s="29"/>
      <c r="H680" s="29"/>
      <c r="I680" s="28"/>
    </row>
    <row r="681" spans="1:9" ht="12.75" x14ac:dyDescent="0.2">
      <c r="A681" s="28"/>
      <c r="B681" s="29"/>
      <c r="C681" s="29"/>
      <c r="D681" s="29"/>
      <c r="E681" s="29"/>
      <c r="F681" s="28"/>
      <c r="G681" s="29"/>
      <c r="H681" s="29"/>
      <c r="I681" s="28"/>
    </row>
    <row r="682" spans="1:9" ht="12.75" x14ac:dyDescent="0.2">
      <c r="A682" s="28"/>
      <c r="B682" s="29"/>
      <c r="C682" s="29"/>
      <c r="D682" s="29"/>
      <c r="E682" s="29"/>
      <c r="F682" s="28"/>
      <c r="G682" s="29"/>
      <c r="H682" s="29"/>
      <c r="I682" s="28"/>
    </row>
    <row r="683" spans="1:9" ht="12.75" x14ac:dyDescent="0.2">
      <c r="A683" s="28"/>
      <c r="B683" s="29"/>
      <c r="C683" s="29"/>
      <c r="D683" s="29"/>
      <c r="E683" s="29"/>
      <c r="F683" s="28"/>
      <c r="G683" s="29"/>
      <c r="H683" s="29"/>
      <c r="I683" s="28"/>
    </row>
    <row r="684" spans="1:9" ht="12.75" x14ac:dyDescent="0.2">
      <c r="A684" s="28"/>
      <c r="B684" s="29"/>
      <c r="C684" s="29"/>
      <c r="D684" s="29"/>
      <c r="E684" s="29"/>
      <c r="F684" s="28"/>
      <c r="G684" s="29"/>
      <c r="H684" s="29"/>
      <c r="I684" s="28"/>
    </row>
    <row r="685" spans="1:9" ht="12.75" x14ac:dyDescent="0.2">
      <c r="A685" s="28"/>
      <c r="B685" s="29"/>
      <c r="C685" s="29"/>
      <c r="D685" s="29"/>
      <c r="E685" s="29"/>
      <c r="F685" s="28"/>
      <c r="G685" s="29"/>
      <c r="H685" s="29"/>
      <c r="I685" s="28"/>
    </row>
    <row r="686" spans="1:9" ht="12.75" x14ac:dyDescent="0.2">
      <c r="A686" s="28"/>
      <c r="B686" s="29"/>
      <c r="C686" s="29"/>
      <c r="D686" s="29"/>
      <c r="E686" s="29"/>
      <c r="F686" s="28"/>
      <c r="G686" s="29"/>
      <c r="H686" s="29"/>
      <c r="I686" s="28"/>
    </row>
    <row r="687" spans="1:9" ht="12.75" x14ac:dyDescent="0.2">
      <c r="A687" s="28"/>
      <c r="B687" s="29"/>
      <c r="C687" s="29"/>
      <c r="D687" s="29"/>
      <c r="E687" s="29"/>
      <c r="F687" s="28"/>
      <c r="G687" s="29"/>
      <c r="H687" s="29"/>
      <c r="I687" s="28"/>
    </row>
    <row r="688" spans="1:9" ht="12.75" x14ac:dyDescent="0.2">
      <c r="A688" s="28"/>
      <c r="B688" s="29"/>
      <c r="C688" s="29"/>
      <c r="D688" s="29"/>
      <c r="E688" s="29"/>
      <c r="F688" s="28"/>
      <c r="G688" s="29"/>
      <c r="H688" s="29"/>
      <c r="I688" s="28"/>
    </row>
    <row r="689" spans="1:9" ht="12.75" x14ac:dyDescent="0.2">
      <c r="A689" s="28"/>
      <c r="B689" s="29"/>
      <c r="C689" s="29"/>
      <c r="D689" s="29"/>
      <c r="E689" s="29"/>
      <c r="F689" s="28"/>
      <c r="G689" s="29"/>
      <c r="H689" s="29"/>
      <c r="I689" s="28"/>
    </row>
    <row r="690" spans="1:9" ht="12.75" x14ac:dyDescent="0.2">
      <c r="A690" s="28"/>
      <c r="B690" s="29"/>
      <c r="C690" s="29"/>
      <c r="D690" s="29"/>
      <c r="E690" s="29"/>
      <c r="F690" s="28"/>
      <c r="G690" s="29"/>
      <c r="H690" s="29"/>
      <c r="I690" s="28"/>
    </row>
    <row r="691" spans="1:9" ht="12.75" x14ac:dyDescent="0.2">
      <c r="A691" s="28"/>
      <c r="B691" s="29"/>
      <c r="C691" s="29"/>
      <c r="D691" s="29"/>
      <c r="E691" s="29"/>
      <c r="F691" s="28"/>
      <c r="G691" s="29"/>
      <c r="H691" s="29"/>
      <c r="I691" s="28"/>
    </row>
    <row r="692" spans="1:9" ht="12.75" x14ac:dyDescent="0.2">
      <c r="A692" s="28"/>
      <c r="B692" s="29"/>
      <c r="C692" s="29"/>
      <c r="D692" s="29"/>
      <c r="E692" s="29"/>
      <c r="F692" s="28"/>
      <c r="G692" s="29"/>
      <c r="H692" s="29"/>
      <c r="I692" s="28"/>
    </row>
    <row r="693" spans="1:9" ht="12.75" x14ac:dyDescent="0.2">
      <c r="A693" s="28"/>
      <c r="B693" s="29"/>
      <c r="C693" s="29"/>
      <c r="D693" s="29"/>
      <c r="E693" s="29"/>
      <c r="F693" s="28"/>
      <c r="G693" s="29"/>
      <c r="H693" s="29"/>
      <c r="I693" s="28"/>
    </row>
    <row r="694" spans="1:9" ht="12.75" x14ac:dyDescent="0.2">
      <c r="A694" s="28"/>
      <c r="B694" s="29"/>
      <c r="C694" s="29"/>
      <c r="D694" s="29"/>
      <c r="E694" s="29"/>
      <c r="F694" s="28"/>
      <c r="G694" s="29"/>
      <c r="H694" s="29"/>
      <c r="I694" s="28"/>
    </row>
    <row r="695" spans="1:9" ht="12.75" x14ac:dyDescent="0.2">
      <c r="A695" s="28"/>
      <c r="B695" s="29"/>
      <c r="C695" s="29"/>
      <c r="D695" s="29"/>
      <c r="E695" s="29"/>
      <c r="F695" s="28"/>
      <c r="G695" s="29"/>
      <c r="H695" s="29"/>
      <c r="I695" s="28"/>
    </row>
    <row r="696" spans="1:9" ht="12.75" x14ac:dyDescent="0.2">
      <c r="A696" s="28"/>
      <c r="B696" s="29"/>
      <c r="C696" s="29"/>
      <c r="D696" s="29"/>
      <c r="E696" s="29"/>
      <c r="F696" s="28"/>
      <c r="G696" s="29"/>
      <c r="H696" s="29"/>
      <c r="I696" s="28"/>
    </row>
    <row r="697" spans="1:9" ht="12.75" x14ac:dyDescent="0.2">
      <c r="A697" s="28"/>
      <c r="B697" s="29"/>
      <c r="C697" s="29"/>
      <c r="D697" s="29"/>
      <c r="E697" s="29"/>
      <c r="F697" s="28"/>
      <c r="G697" s="29"/>
      <c r="H697" s="29"/>
      <c r="I697" s="28"/>
    </row>
    <row r="698" spans="1:9" ht="12.75" x14ac:dyDescent="0.2">
      <c r="A698" s="28"/>
      <c r="B698" s="29"/>
      <c r="C698" s="29"/>
      <c r="D698" s="29"/>
      <c r="E698" s="29"/>
      <c r="F698" s="28"/>
      <c r="G698" s="29"/>
      <c r="H698" s="29"/>
      <c r="I698" s="28"/>
    </row>
    <row r="699" spans="1:9" ht="12.75" x14ac:dyDescent="0.2">
      <c r="A699" s="28"/>
      <c r="B699" s="29"/>
      <c r="C699" s="29"/>
      <c r="D699" s="29"/>
      <c r="E699" s="29"/>
      <c r="F699" s="28"/>
      <c r="G699" s="29"/>
      <c r="H699" s="29"/>
      <c r="I699" s="28"/>
    </row>
    <row r="700" spans="1:9" ht="12.75" x14ac:dyDescent="0.2">
      <c r="A700" s="28"/>
      <c r="B700" s="29"/>
      <c r="C700" s="29"/>
      <c r="D700" s="29"/>
      <c r="E700" s="29"/>
      <c r="F700" s="28"/>
      <c r="G700" s="29"/>
      <c r="H700" s="29"/>
      <c r="I700" s="28"/>
    </row>
    <row r="701" spans="1:9" ht="12.75" x14ac:dyDescent="0.2">
      <c r="A701" s="28"/>
      <c r="B701" s="29"/>
      <c r="C701" s="29"/>
      <c r="D701" s="29"/>
      <c r="E701" s="29"/>
      <c r="F701" s="28"/>
      <c r="G701" s="29"/>
      <c r="H701" s="29"/>
      <c r="I701" s="28"/>
    </row>
    <row r="702" spans="1:9" ht="12.75" x14ac:dyDescent="0.2">
      <c r="A702" s="28"/>
      <c r="B702" s="29"/>
      <c r="C702" s="29"/>
      <c r="D702" s="29"/>
      <c r="E702" s="29"/>
      <c r="F702" s="28"/>
      <c r="G702" s="29"/>
      <c r="H702" s="29"/>
      <c r="I702" s="28"/>
    </row>
    <row r="703" spans="1:9" ht="12.75" x14ac:dyDescent="0.2">
      <c r="A703" s="28"/>
      <c r="B703" s="29"/>
      <c r="C703" s="29"/>
      <c r="D703" s="29"/>
      <c r="E703" s="29"/>
      <c r="F703" s="28"/>
      <c r="G703" s="29"/>
      <c r="H703" s="29"/>
      <c r="I703" s="28"/>
    </row>
    <row r="704" spans="1:9" ht="12.75" x14ac:dyDescent="0.2">
      <c r="A704" s="28"/>
      <c r="B704" s="29"/>
      <c r="C704" s="29"/>
      <c r="D704" s="29"/>
      <c r="E704" s="29"/>
      <c r="F704" s="28"/>
      <c r="G704" s="29"/>
      <c r="H704" s="29"/>
      <c r="I704" s="28"/>
    </row>
    <row r="705" spans="1:9" ht="12.75" x14ac:dyDescent="0.2">
      <c r="A705" s="28"/>
      <c r="B705" s="29"/>
      <c r="C705" s="29"/>
      <c r="D705" s="29"/>
      <c r="E705" s="29"/>
      <c r="F705" s="28"/>
      <c r="G705" s="29"/>
      <c r="H705" s="29"/>
      <c r="I705" s="28"/>
    </row>
    <row r="706" spans="1:9" ht="12.75" x14ac:dyDescent="0.2">
      <c r="A706" s="28"/>
      <c r="B706" s="29"/>
      <c r="C706" s="29"/>
      <c r="D706" s="29"/>
      <c r="E706" s="29"/>
      <c r="F706" s="28"/>
      <c r="G706" s="29"/>
      <c r="H706" s="29"/>
      <c r="I706" s="28"/>
    </row>
    <row r="707" spans="1:9" ht="12.75" x14ac:dyDescent="0.2">
      <c r="A707" s="28"/>
      <c r="B707" s="29"/>
      <c r="C707" s="29"/>
      <c r="D707" s="29"/>
      <c r="E707" s="29"/>
      <c r="F707" s="28"/>
      <c r="G707" s="29"/>
      <c r="H707" s="29"/>
      <c r="I707" s="28"/>
    </row>
    <row r="708" spans="1:9" ht="12.75" x14ac:dyDescent="0.2">
      <c r="A708" s="28"/>
      <c r="B708" s="29"/>
      <c r="C708" s="29"/>
      <c r="D708" s="29"/>
      <c r="E708" s="29"/>
      <c r="F708" s="28"/>
      <c r="G708" s="29"/>
      <c r="H708" s="29"/>
      <c r="I708" s="28"/>
    </row>
    <row r="709" spans="1:9" ht="12.75" x14ac:dyDescent="0.2">
      <c r="A709" s="28"/>
      <c r="B709" s="29"/>
      <c r="C709" s="29"/>
      <c r="D709" s="29"/>
      <c r="E709" s="29"/>
      <c r="F709" s="28"/>
      <c r="G709" s="29"/>
      <c r="H709" s="29"/>
      <c r="I709" s="28"/>
    </row>
    <row r="710" spans="1:9" ht="12.75" x14ac:dyDescent="0.2">
      <c r="A710" s="28"/>
      <c r="B710" s="29"/>
      <c r="C710" s="29"/>
      <c r="D710" s="29"/>
      <c r="E710" s="29"/>
      <c r="F710" s="28"/>
      <c r="G710" s="29"/>
      <c r="H710" s="29"/>
      <c r="I710" s="28"/>
    </row>
    <row r="711" spans="1:9" ht="12.75" x14ac:dyDescent="0.2">
      <c r="A711" s="28"/>
      <c r="B711" s="29"/>
      <c r="C711" s="29"/>
      <c r="D711" s="29"/>
      <c r="E711" s="29"/>
      <c r="F711" s="28"/>
      <c r="G711" s="29"/>
      <c r="H711" s="29"/>
      <c r="I711" s="28"/>
    </row>
    <row r="712" spans="1:9" ht="12.75" x14ac:dyDescent="0.2">
      <c r="A712" s="28"/>
      <c r="B712" s="29"/>
      <c r="C712" s="29"/>
      <c r="D712" s="29"/>
      <c r="E712" s="29"/>
      <c r="F712" s="28"/>
      <c r="G712" s="29"/>
      <c r="H712" s="29"/>
      <c r="I712" s="28"/>
    </row>
    <row r="713" spans="1:9" ht="12.75" x14ac:dyDescent="0.2">
      <c r="A713" s="28"/>
      <c r="B713" s="29"/>
      <c r="C713" s="29"/>
      <c r="D713" s="29"/>
      <c r="E713" s="29"/>
      <c r="F713" s="28"/>
      <c r="G713" s="29"/>
      <c r="H713" s="29"/>
      <c r="I713" s="28"/>
    </row>
    <row r="714" spans="1:9" ht="12.75" x14ac:dyDescent="0.2">
      <c r="A714" s="28"/>
      <c r="B714" s="29"/>
      <c r="C714" s="29"/>
      <c r="D714" s="29"/>
      <c r="E714" s="29"/>
      <c r="F714" s="28"/>
      <c r="G714" s="29"/>
      <c r="H714" s="29"/>
      <c r="I714" s="28"/>
    </row>
    <row r="715" spans="1:9" ht="12.75" x14ac:dyDescent="0.2">
      <c r="A715" s="28"/>
      <c r="B715" s="29"/>
      <c r="C715" s="29"/>
      <c r="D715" s="29"/>
      <c r="E715" s="29"/>
      <c r="F715" s="28"/>
      <c r="G715" s="29"/>
      <c r="H715" s="29"/>
      <c r="I715" s="28"/>
    </row>
    <row r="716" spans="1:9" ht="12.75" x14ac:dyDescent="0.2">
      <c r="A716" s="28"/>
      <c r="B716" s="29"/>
      <c r="C716" s="29"/>
      <c r="D716" s="29"/>
      <c r="E716" s="29"/>
      <c r="F716" s="28"/>
      <c r="G716" s="29"/>
      <c r="H716" s="29"/>
      <c r="I716" s="28"/>
    </row>
    <row r="717" spans="1:9" ht="12.75" x14ac:dyDescent="0.2">
      <c r="A717" s="28"/>
      <c r="B717" s="29"/>
      <c r="C717" s="29"/>
      <c r="D717" s="29"/>
      <c r="E717" s="29"/>
      <c r="F717" s="28"/>
      <c r="G717" s="29"/>
      <c r="H717" s="29"/>
      <c r="I717" s="28"/>
    </row>
    <row r="718" spans="1:9" ht="12.75" x14ac:dyDescent="0.2">
      <c r="A718" s="28"/>
      <c r="B718" s="29"/>
      <c r="C718" s="29"/>
      <c r="D718" s="29"/>
      <c r="E718" s="29"/>
      <c r="F718" s="28"/>
      <c r="G718" s="29"/>
      <c r="H718" s="29"/>
      <c r="I718" s="28"/>
    </row>
    <row r="719" spans="1:9" ht="12.75" x14ac:dyDescent="0.2">
      <c r="A719" s="28"/>
      <c r="B719" s="29"/>
      <c r="C719" s="29"/>
      <c r="D719" s="29"/>
      <c r="E719" s="29"/>
      <c r="F719" s="28"/>
      <c r="G719" s="29"/>
      <c r="H719" s="29"/>
      <c r="I719" s="28"/>
    </row>
    <row r="720" spans="1:9" ht="12.75" x14ac:dyDescent="0.2">
      <c r="A720" s="28"/>
      <c r="B720" s="29"/>
      <c r="C720" s="29"/>
      <c r="D720" s="29"/>
      <c r="E720" s="29"/>
      <c r="F720" s="28"/>
      <c r="G720" s="29"/>
      <c r="H720" s="29"/>
      <c r="I720" s="28"/>
    </row>
    <row r="721" spans="1:9" ht="12.75" x14ac:dyDescent="0.2">
      <c r="A721" s="28"/>
      <c r="B721" s="29"/>
      <c r="C721" s="29"/>
      <c r="D721" s="29"/>
      <c r="E721" s="29"/>
      <c r="F721" s="28"/>
      <c r="G721" s="29"/>
      <c r="H721" s="29"/>
      <c r="I721" s="28"/>
    </row>
    <row r="722" spans="1:9" ht="12.75" x14ac:dyDescent="0.2">
      <c r="A722" s="28"/>
      <c r="B722" s="29"/>
      <c r="C722" s="29"/>
      <c r="D722" s="29"/>
      <c r="E722" s="29"/>
      <c r="F722" s="28"/>
      <c r="G722" s="29"/>
      <c r="H722" s="29"/>
      <c r="I722" s="28"/>
    </row>
    <row r="723" spans="1:9" ht="12.75" x14ac:dyDescent="0.2">
      <c r="A723" s="28"/>
      <c r="B723" s="29"/>
      <c r="C723" s="29"/>
      <c r="D723" s="29"/>
      <c r="E723" s="29"/>
      <c r="F723" s="28"/>
      <c r="G723" s="29"/>
      <c r="H723" s="29"/>
      <c r="I723" s="28"/>
    </row>
    <row r="724" spans="1:9" ht="12.75" x14ac:dyDescent="0.2">
      <c r="A724" s="28"/>
      <c r="B724" s="29"/>
      <c r="C724" s="29"/>
      <c r="D724" s="29"/>
      <c r="E724" s="29"/>
      <c r="F724" s="28"/>
      <c r="G724" s="29"/>
      <c r="H724" s="29"/>
      <c r="I724" s="28"/>
    </row>
    <row r="725" spans="1:9" ht="12.75" x14ac:dyDescent="0.2">
      <c r="A725" s="28"/>
      <c r="B725" s="29"/>
      <c r="C725" s="29"/>
      <c r="D725" s="29"/>
      <c r="E725" s="29"/>
      <c r="F725" s="28"/>
      <c r="G725" s="29"/>
      <c r="H725" s="29"/>
      <c r="I725" s="28"/>
    </row>
    <row r="726" spans="1:9" ht="12.75" x14ac:dyDescent="0.2">
      <c r="A726" s="28"/>
      <c r="B726" s="29"/>
      <c r="C726" s="29"/>
      <c r="D726" s="29"/>
      <c r="E726" s="29"/>
      <c r="F726" s="28"/>
      <c r="G726" s="29"/>
      <c r="H726" s="29"/>
      <c r="I726" s="28"/>
    </row>
    <row r="727" spans="1:9" ht="12.75" x14ac:dyDescent="0.2">
      <c r="A727" s="28"/>
      <c r="B727" s="29"/>
      <c r="C727" s="29"/>
      <c r="D727" s="29"/>
      <c r="E727" s="29"/>
      <c r="F727" s="28"/>
      <c r="G727" s="29"/>
      <c r="H727" s="29"/>
      <c r="I727" s="28"/>
    </row>
    <row r="728" spans="1:9" ht="12.75" x14ac:dyDescent="0.2">
      <c r="A728" s="28"/>
      <c r="B728" s="29"/>
      <c r="C728" s="29"/>
      <c r="D728" s="29"/>
      <c r="E728" s="29"/>
      <c r="F728" s="28"/>
      <c r="G728" s="29"/>
      <c r="H728" s="29"/>
      <c r="I728" s="28"/>
    </row>
    <row r="729" spans="1:9" ht="12.75" x14ac:dyDescent="0.2">
      <c r="A729" s="28"/>
      <c r="B729" s="29"/>
      <c r="C729" s="29"/>
      <c r="D729" s="29"/>
      <c r="E729" s="29"/>
      <c r="F729" s="28"/>
      <c r="G729" s="29"/>
      <c r="H729" s="29"/>
      <c r="I729" s="28"/>
    </row>
    <row r="730" spans="1:9" ht="12.75" x14ac:dyDescent="0.2">
      <c r="A730" s="28"/>
      <c r="B730" s="29"/>
      <c r="C730" s="29"/>
      <c r="D730" s="29"/>
      <c r="E730" s="29"/>
      <c r="F730" s="28"/>
      <c r="G730" s="29"/>
      <c r="H730" s="29"/>
      <c r="I730" s="28"/>
    </row>
    <row r="731" spans="1:9" ht="12.75" x14ac:dyDescent="0.2">
      <c r="A731" s="28"/>
      <c r="B731" s="29"/>
      <c r="C731" s="29"/>
      <c r="D731" s="29"/>
      <c r="E731" s="29"/>
      <c r="F731" s="28"/>
      <c r="G731" s="29"/>
      <c r="H731" s="29"/>
      <c r="I731" s="28"/>
    </row>
    <row r="732" spans="1:9" ht="12.75" x14ac:dyDescent="0.2">
      <c r="A732" s="28"/>
      <c r="B732" s="29"/>
      <c r="C732" s="29"/>
      <c r="D732" s="29"/>
      <c r="E732" s="29"/>
      <c r="F732" s="28"/>
      <c r="G732" s="29"/>
      <c r="H732" s="29"/>
      <c r="I732" s="28"/>
    </row>
    <row r="733" spans="1:9" ht="12.75" x14ac:dyDescent="0.2">
      <c r="A733" s="28"/>
      <c r="B733" s="29"/>
      <c r="C733" s="29"/>
      <c r="D733" s="29"/>
      <c r="E733" s="29"/>
      <c r="F733" s="28"/>
      <c r="G733" s="29"/>
      <c r="H733" s="29"/>
      <c r="I733" s="28"/>
    </row>
    <row r="734" spans="1:9" ht="12.75" x14ac:dyDescent="0.2">
      <c r="A734" s="28"/>
      <c r="B734" s="29"/>
      <c r="C734" s="29"/>
      <c r="D734" s="29"/>
      <c r="E734" s="29"/>
      <c r="F734" s="28"/>
      <c r="G734" s="29"/>
      <c r="H734" s="29"/>
      <c r="I734" s="28"/>
    </row>
    <row r="735" spans="1:9" ht="12.75" x14ac:dyDescent="0.2">
      <c r="A735" s="28"/>
      <c r="B735" s="29"/>
      <c r="C735" s="29"/>
      <c r="D735" s="29"/>
      <c r="E735" s="29"/>
      <c r="F735" s="28"/>
      <c r="G735" s="29"/>
      <c r="H735" s="29"/>
      <c r="I735" s="28"/>
    </row>
    <row r="736" spans="1:9" ht="12.75" x14ac:dyDescent="0.2">
      <c r="A736" s="28"/>
      <c r="B736" s="29"/>
      <c r="C736" s="29"/>
      <c r="D736" s="29"/>
      <c r="E736" s="29"/>
      <c r="F736" s="28"/>
      <c r="G736" s="29"/>
      <c r="H736" s="29"/>
      <c r="I736" s="28"/>
    </row>
    <row r="737" spans="1:9" ht="12.75" x14ac:dyDescent="0.2">
      <c r="A737" s="28"/>
      <c r="B737" s="29"/>
      <c r="C737" s="29"/>
      <c r="D737" s="29"/>
      <c r="E737" s="29"/>
      <c r="F737" s="28"/>
      <c r="G737" s="29"/>
      <c r="H737" s="29"/>
      <c r="I737" s="28"/>
    </row>
    <row r="738" spans="1:9" ht="12.75" x14ac:dyDescent="0.2">
      <c r="A738" s="28"/>
      <c r="B738" s="29"/>
      <c r="C738" s="29"/>
      <c r="D738" s="29"/>
      <c r="E738" s="29"/>
      <c r="F738" s="28"/>
      <c r="G738" s="29"/>
      <c r="H738" s="29"/>
      <c r="I738" s="28"/>
    </row>
    <row r="739" spans="1:9" ht="12.75" x14ac:dyDescent="0.2">
      <c r="A739" s="28"/>
      <c r="B739" s="29"/>
      <c r="C739" s="29"/>
      <c r="D739" s="29"/>
      <c r="E739" s="29"/>
      <c r="F739" s="28"/>
      <c r="G739" s="29"/>
      <c r="H739" s="29"/>
      <c r="I739" s="28"/>
    </row>
    <row r="740" spans="1:9" ht="12.75" x14ac:dyDescent="0.2">
      <c r="A740" s="28"/>
      <c r="B740" s="29"/>
      <c r="C740" s="29"/>
      <c r="D740" s="29"/>
      <c r="E740" s="29"/>
      <c r="F740" s="28"/>
      <c r="G740" s="29"/>
      <c r="H740" s="29"/>
      <c r="I740" s="28"/>
    </row>
    <row r="741" spans="1:9" ht="12.75" x14ac:dyDescent="0.2">
      <c r="A741" s="28"/>
      <c r="B741" s="29"/>
      <c r="C741" s="29"/>
      <c r="D741" s="29"/>
      <c r="E741" s="29"/>
      <c r="F741" s="28"/>
      <c r="G741" s="29"/>
      <c r="H741" s="29"/>
      <c r="I741" s="28"/>
    </row>
    <row r="742" spans="1:9" ht="12.75" x14ac:dyDescent="0.2">
      <c r="A742" s="28"/>
      <c r="B742" s="29"/>
      <c r="C742" s="29"/>
      <c r="D742" s="29"/>
      <c r="E742" s="29"/>
      <c r="F742" s="28"/>
      <c r="G742" s="29"/>
      <c r="H742" s="29"/>
      <c r="I742" s="28"/>
    </row>
    <row r="743" spans="1:9" ht="12.75" x14ac:dyDescent="0.2">
      <c r="A743" s="28"/>
      <c r="B743" s="29"/>
      <c r="C743" s="29"/>
      <c r="D743" s="29"/>
      <c r="E743" s="29"/>
      <c r="F743" s="28"/>
      <c r="G743" s="29"/>
      <c r="H743" s="29"/>
      <c r="I743" s="28"/>
    </row>
    <row r="744" spans="1:9" ht="12.75" x14ac:dyDescent="0.2">
      <c r="A744" s="28"/>
      <c r="B744" s="29"/>
      <c r="C744" s="29"/>
      <c r="D744" s="29"/>
      <c r="E744" s="29"/>
      <c r="F744" s="28"/>
      <c r="G744" s="29"/>
      <c r="H744" s="29"/>
      <c r="I744" s="28"/>
    </row>
    <row r="745" spans="1:9" ht="12.75" x14ac:dyDescent="0.2">
      <c r="A745" s="28"/>
      <c r="B745" s="29"/>
      <c r="C745" s="29"/>
      <c r="D745" s="29"/>
      <c r="E745" s="29"/>
      <c r="F745" s="28"/>
      <c r="G745" s="29"/>
      <c r="H745" s="29"/>
      <c r="I745" s="28"/>
    </row>
    <row r="746" spans="1:9" ht="12.75" x14ac:dyDescent="0.2">
      <c r="A746" s="28"/>
      <c r="B746" s="29"/>
      <c r="C746" s="29"/>
      <c r="D746" s="29"/>
      <c r="E746" s="29"/>
      <c r="F746" s="28"/>
      <c r="G746" s="29"/>
      <c r="H746" s="29"/>
      <c r="I746" s="28"/>
    </row>
    <row r="747" spans="1:9" ht="12.75" x14ac:dyDescent="0.2">
      <c r="A747" s="28"/>
      <c r="B747" s="29"/>
      <c r="C747" s="29"/>
      <c r="D747" s="29"/>
      <c r="E747" s="29"/>
      <c r="F747" s="28"/>
      <c r="G747" s="29"/>
      <c r="H747" s="29"/>
      <c r="I747" s="28"/>
    </row>
    <row r="748" spans="1:9" ht="12.75" x14ac:dyDescent="0.2">
      <c r="A748" s="28"/>
      <c r="B748" s="29"/>
      <c r="C748" s="29"/>
      <c r="D748" s="29"/>
      <c r="E748" s="29"/>
      <c r="F748" s="28"/>
      <c r="G748" s="29"/>
      <c r="H748" s="29"/>
      <c r="I748" s="28"/>
    </row>
    <row r="749" spans="1:9" ht="12.75" x14ac:dyDescent="0.2">
      <c r="A749" s="28"/>
      <c r="B749" s="29"/>
      <c r="C749" s="29"/>
      <c r="D749" s="29"/>
      <c r="E749" s="29"/>
      <c r="F749" s="28"/>
      <c r="G749" s="29"/>
      <c r="H749" s="29"/>
      <c r="I749" s="28"/>
    </row>
    <row r="750" spans="1:9" ht="12.75" x14ac:dyDescent="0.2">
      <c r="A750" s="28"/>
      <c r="B750" s="29"/>
      <c r="C750" s="29"/>
      <c r="D750" s="29"/>
      <c r="E750" s="29"/>
      <c r="F750" s="28"/>
      <c r="G750" s="29"/>
      <c r="H750" s="29"/>
      <c r="I750" s="28"/>
    </row>
    <row r="751" spans="1:9" ht="12.75" x14ac:dyDescent="0.2">
      <c r="A751" s="28"/>
      <c r="B751" s="29"/>
      <c r="C751" s="29"/>
      <c r="D751" s="29"/>
      <c r="E751" s="29"/>
      <c r="F751" s="28"/>
      <c r="G751" s="29"/>
      <c r="H751" s="29"/>
      <c r="I751" s="28"/>
    </row>
    <row r="752" spans="1:9" ht="12.75" x14ac:dyDescent="0.2">
      <c r="A752" s="28"/>
      <c r="B752" s="29"/>
      <c r="C752" s="29"/>
      <c r="D752" s="29"/>
      <c r="E752" s="29"/>
      <c r="F752" s="28"/>
      <c r="G752" s="29"/>
      <c r="H752" s="29"/>
      <c r="I752" s="28"/>
    </row>
    <row r="753" spans="1:9" ht="12.75" x14ac:dyDescent="0.2">
      <c r="A753" s="28"/>
      <c r="B753" s="29"/>
      <c r="C753" s="29"/>
      <c r="D753" s="29"/>
      <c r="E753" s="29"/>
      <c r="F753" s="28"/>
      <c r="G753" s="29"/>
      <c r="H753" s="29"/>
      <c r="I753" s="28"/>
    </row>
    <row r="754" spans="1:9" ht="12.75" x14ac:dyDescent="0.2">
      <c r="A754" s="28"/>
      <c r="B754" s="29"/>
      <c r="C754" s="29"/>
      <c r="D754" s="29"/>
      <c r="E754" s="29"/>
      <c r="F754" s="28"/>
      <c r="G754" s="29"/>
      <c r="H754" s="29"/>
      <c r="I754" s="28"/>
    </row>
    <row r="755" spans="1:9" ht="12.75" x14ac:dyDescent="0.2">
      <c r="A755" s="28"/>
      <c r="B755" s="29"/>
      <c r="C755" s="29"/>
      <c r="D755" s="29"/>
      <c r="E755" s="29"/>
      <c r="F755" s="28"/>
      <c r="G755" s="29"/>
      <c r="H755" s="29"/>
      <c r="I755" s="28"/>
    </row>
    <row r="756" spans="1:9" ht="12.75" x14ac:dyDescent="0.2">
      <c r="A756" s="28"/>
      <c r="B756" s="29"/>
      <c r="C756" s="29"/>
      <c r="D756" s="29"/>
      <c r="E756" s="29"/>
      <c r="F756" s="28"/>
      <c r="G756" s="29"/>
      <c r="H756" s="29"/>
      <c r="I756" s="28"/>
    </row>
    <row r="757" spans="1:9" ht="12.75" x14ac:dyDescent="0.2">
      <c r="A757" s="28"/>
      <c r="B757" s="29"/>
      <c r="C757" s="29"/>
      <c r="D757" s="29"/>
      <c r="E757" s="29"/>
      <c r="F757" s="28"/>
      <c r="G757" s="29"/>
      <c r="H757" s="29"/>
      <c r="I757" s="28"/>
    </row>
    <row r="758" spans="1:9" ht="12.75" x14ac:dyDescent="0.2">
      <c r="A758" s="28"/>
      <c r="B758" s="29"/>
      <c r="C758" s="29"/>
      <c r="D758" s="29"/>
      <c r="E758" s="29"/>
      <c r="F758" s="28"/>
      <c r="G758" s="29"/>
      <c r="H758" s="29"/>
      <c r="I758" s="28"/>
    </row>
    <row r="759" spans="1:9" ht="12.75" x14ac:dyDescent="0.2">
      <c r="A759" s="28"/>
      <c r="B759" s="29"/>
      <c r="C759" s="29"/>
      <c r="D759" s="29"/>
      <c r="E759" s="29"/>
      <c r="F759" s="28"/>
      <c r="G759" s="29"/>
      <c r="H759" s="29"/>
      <c r="I759" s="28"/>
    </row>
    <row r="760" spans="1:9" ht="12.75" x14ac:dyDescent="0.2">
      <c r="A760" s="28"/>
      <c r="B760" s="29"/>
      <c r="C760" s="29"/>
      <c r="D760" s="29"/>
      <c r="E760" s="29"/>
      <c r="F760" s="28"/>
      <c r="G760" s="29"/>
      <c r="H760" s="29"/>
      <c r="I760" s="28"/>
    </row>
    <row r="761" spans="1:9" ht="12.75" x14ac:dyDescent="0.2">
      <c r="A761" s="28"/>
      <c r="B761" s="29"/>
      <c r="C761" s="29"/>
      <c r="D761" s="29"/>
      <c r="E761" s="29"/>
      <c r="F761" s="28"/>
      <c r="G761" s="29"/>
      <c r="H761" s="29"/>
      <c r="I761" s="28"/>
    </row>
    <row r="762" spans="1:9" ht="12.75" x14ac:dyDescent="0.2">
      <c r="A762" s="28"/>
      <c r="B762" s="29"/>
      <c r="C762" s="29"/>
      <c r="D762" s="29"/>
      <c r="E762" s="29"/>
      <c r="F762" s="28"/>
      <c r="G762" s="29"/>
      <c r="H762" s="29"/>
      <c r="I762" s="28"/>
    </row>
    <row r="763" spans="1:9" ht="12.75" x14ac:dyDescent="0.2">
      <c r="A763" s="28"/>
      <c r="B763" s="29"/>
      <c r="C763" s="29"/>
      <c r="D763" s="29"/>
      <c r="E763" s="29"/>
      <c r="F763" s="28"/>
      <c r="G763" s="29"/>
      <c r="H763" s="29"/>
      <c r="I763" s="28"/>
    </row>
    <row r="764" spans="1:9" ht="12.75" x14ac:dyDescent="0.2">
      <c r="A764" s="28"/>
      <c r="B764" s="29"/>
      <c r="C764" s="29"/>
      <c r="D764" s="29"/>
      <c r="E764" s="29"/>
      <c r="F764" s="28"/>
      <c r="G764" s="29"/>
      <c r="H764" s="29"/>
      <c r="I764" s="28"/>
    </row>
    <row r="765" spans="1:9" ht="12.75" x14ac:dyDescent="0.2">
      <c r="A765" s="28"/>
      <c r="B765" s="29"/>
      <c r="C765" s="29"/>
      <c r="D765" s="29"/>
      <c r="E765" s="29"/>
      <c r="F765" s="28"/>
      <c r="G765" s="29"/>
      <c r="H765" s="29"/>
      <c r="I765" s="28"/>
    </row>
    <row r="766" spans="1:9" ht="12.75" x14ac:dyDescent="0.2">
      <c r="A766" s="28"/>
      <c r="B766" s="29"/>
      <c r="C766" s="29"/>
      <c r="D766" s="29"/>
      <c r="E766" s="29"/>
      <c r="F766" s="28"/>
      <c r="G766" s="29"/>
      <c r="H766" s="29"/>
      <c r="I766" s="28"/>
    </row>
    <row r="767" spans="1:9" ht="12.75" x14ac:dyDescent="0.2">
      <c r="A767" s="28"/>
      <c r="B767" s="29"/>
      <c r="C767" s="29"/>
      <c r="D767" s="29"/>
      <c r="E767" s="29"/>
      <c r="F767" s="28"/>
      <c r="G767" s="29"/>
      <c r="H767" s="29"/>
      <c r="I767" s="28"/>
    </row>
    <row r="768" spans="1:9" ht="12.75" x14ac:dyDescent="0.2">
      <c r="A768" s="28"/>
      <c r="B768" s="29"/>
      <c r="C768" s="29"/>
      <c r="D768" s="29"/>
      <c r="E768" s="29"/>
      <c r="F768" s="28"/>
      <c r="G768" s="29"/>
      <c r="H768" s="29"/>
      <c r="I768" s="28"/>
    </row>
    <row r="769" spans="1:9" ht="12.75" x14ac:dyDescent="0.2">
      <c r="A769" s="28"/>
      <c r="B769" s="29"/>
      <c r="C769" s="29"/>
      <c r="D769" s="29"/>
      <c r="E769" s="29"/>
      <c r="F769" s="28"/>
      <c r="G769" s="29"/>
      <c r="H769" s="29"/>
      <c r="I769" s="28"/>
    </row>
    <row r="770" spans="1:9" ht="12.75" x14ac:dyDescent="0.2">
      <c r="A770" s="28"/>
      <c r="B770" s="29"/>
      <c r="C770" s="29"/>
      <c r="D770" s="29"/>
      <c r="E770" s="29"/>
      <c r="F770" s="28"/>
      <c r="G770" s="29"/>
      <c r="H770" s="29"/>
      <c r="I770" s="28"/>
    </row>
    <row r="771" spans="1:9" ht="12.75" x14ac:dyDescent="0.2">
      <c r="A771" s="28"/>
      <c r="B771" s="29"/>
      <c r="C771" s="29"/>
      <c r="D771" s="29"/>
      <c r="E771" s="29"/>
      <c r="F771" s="28"/>
      <c r="G771" s="29"/>
      <c r="H771" s="29"/>
      <c r="I771" s="28"/>
    </row>
    <row r="772" spans="1:9" ht="12.75" x14ac:dyDescent="0.2">
      <c r="A772" s="28"/>
      <c r="B772" s="29"/>
      <c r="C772" s="29"/>
      <c r="D772" s="29"/>
      <c r="E772" s="29"/>
      <c r="F772" s="28"/>
      <c r="G772" s="29"/>
      <c r="H772" s="29"/>
      <c r="I772" s="28"/>
    </row>
    <row r="773" spans="1:9" ht="12.75" x14ac:dyDescent="0.2">
      <c r="A773" s="28"/>
      <c r="B773" s="29"/>
      <c r="C773" s="29"/>
      <c r="D773" s="29"/>
      <c r="E773" s="29"/>
      <c r="F773" s="28"/>
      <c r="G773" s="29"/>
      <c r="H773" s="29"/>
      <c r="I773" s="28"/>
    </row>
    <row r="774" spans="1:9" ht="12.75" x14ac:dyDescent="0.2">
      <c r="A774" s="28"/>
      <c r="B774" s="29"/>
      <c r="C774" s="29"/>
      <c r="D774" s="29"/>
      <c r="E774" s="29"/>
      <c r="F774" s="28"/>
      <c r="G774" s="29"/>
      <c r="H774" s="29"/>
      <c r="I774" s="28"/>
    </row>
    <row r="775" spans="1:9" ht="12.75" x14ac:dyDescent="0.2">
      <c r="A775" s="28"/>
      <c r="B775" s="29"/>
      <c r="C775" s="29"/>
      <c r="D775" s="29"/>
      <c r="E775" s="29"/>
      <c r="F775" s="28"/>
      <c r="G775" s="29"/>
      <c r="H775" s="29"/>
      <c r="I775" s="28"/>
    </row>
    <row r="776" spans="1:9" ht="12.75" x14ac:dyDescent="0.2">
      <c r="A776" s="28"/>
      <c r="B776" s="29"/>
      <c r="C776" s="29"/>
      <c r="D776" s="29"/>
      <c r="E776" s="29"/>
      <c r="F776" s="28"/>
      <c r="G776" s="29"/>
      <c r="H776" s="29"/>
      <c r="I776" s="28"/>
    </row>
    <row r="777" spans="1:9" ht="12.75" x14ac:dyDescent="0.2">
      <c r="A777" s="28"/>
      <c r="B777" s="29"/>
      <c r="C777" s="29"/>
      <c r="D777" s="29"/>
      <c r="E777" s="29"/>
      <c r="F777" s="28"/>
      <c r="G777" s="29"/>
      <c r="H777" s="29"/>
      <c r="I777" s="28"/>
    </row>
    <row r="778" spans="1:9" ht="12.75" x14ac:dyDescent="0.2">
      <c r="A778" s="28"/>
      <c r="B778" s="29"/>
      <c r="C778" s="29"/>
      <c r="D778" s="29"/>
      <c r="E778" s="29"/>
      <c r="F778" s="28"/>
      <c r="G778" s="29"/>
      <c r="H778" s="29"/>
      <c r="I778" s="28"/>
    </row>
    <row r="779" spans="1:9" ht="12.75" x14ac:dyDescent="0.2">
      <c r="A779" s="28"/>
      <c r="B779" s="29"/>
      <c r="C779" s="29"/>
      <c r="D779" s="29"/>
      <c r="E779" s="29"/>
      <c r="F779" s="28"/>
      <c r="G779" s="29"/>
      <c r="H779" s="29"/>
      <c r="I779" s="28"/>
    </row>
    <row r="780" spans="1:9" ht="12.75" x14ac:dyDescent="0.2">
      <c r="A780" s="28"/>
      <c r="B780" s="29"/>
      <c r="C780" s="29"/>
      <c r="D780" s="29"/>
      <c r="E780" s="29"/>
      <c r="F780" s="28"/>
      <c r="G780" s="29"/>
      <c r="H780" s="29"/>
      <c r="I780" s="28"/>
    </row>
    <row r="781" spans="1:9" ht="12.75" x14ac:dyDescent="0.2">
      <c r="A781" s="28"/>
      <c r="B781" s="29"/>
      <c r="C781" s="29"/>
      <c r="D781" s="29"/>
      <c r="E781" s="29"/>
      <c r="F781" s="28"/>
      <c r="G781" s="29"/>
      <c r="H781" s="29"/>
      <c r="I781" s="28"/>
    </row>
    <row r="782" spans="1:9" ht="12.75" x14ac:dyDescent="0.2">
      <c r="A782" s="28"/>
      <c r="B782" s="29"/>
      <c r="C782" s="29"/>
      <c r="D782" s="29"/>
      <c r="E782" s="29"/>
      <c r="F782" s="28"/>
      <c r="G782" s="29"/>
      <c r="H782" s="29"/>
      <c r="I782" s="28"/>
    </row>
    <row r="783" spans="1:9" ht="12.75" x14ac:dyDescent="0.2">
      <c r="A783" s="28"/>
      <c r="B783" s="29"/>
      <c r="C783" s="29"/>
      <c r="D783" s="29"/>
      <c r="E783" s="29"/>
      <c r="F783" s="28"/>
      <c r="G783" s="29"/>
      <c r="H783" s="29"/>
      <c r="I783" s="28"/>
    </row>
    <row r="784" spans="1:9" ht="12.75" x14ac:dyDescent="0.2">
      <c r="A784" s="28"/>
      <c r="B784" s="29"/>
      <c r="C784" s="29"/>
      <c r="D784" s="29"/>
      <c r="E784" s="29"/>
      <c r="F784" s="28"/>
      <c r="G784" s="29"/>
      <c r="H784" s="29"/>
      <c r="I784" s="28"/>
    </row>
    <row r="785" spans="1:9" ht="12.75" x14ac:dyDescent="0.2">
      <c r="A785" s="28"/>
      <c r="B785" s="29"/>
      <c r="C785" s="29"/>
      <c r="D785" s="29"/>
      <c r="E785" s="29"/>
      <c r="F785" s="28"/>
      <c r="G785" s="29"/>
      <c r="H785" s="29"/>
      <c r="I785" s="28"/>
    </row>
    <row r="786" spans="1:9" ht="12.75" x14ac:dyDescent="0.2">
      <c r="A786" s="28"/>
      <c r="B786" s="29"/>
      <c r="C786" s="29"/>
      <c r="D786" s="29"/>
      <c r="E786" s="29"/>
      <c r="F786" s="28"/>
      <c r="G786" s="29"/>
      <c r="H786" s="29"/>
      <c r="I786" s="28"/>
    </row>
    <row r="787" spans="1:9" ht="12.75" x14ac:dyDescent="0.2">
      <c r="A787" s="28"/>
      <c r="B787" s="29"/>
      <c r="C787" s="29"/>
      <c r="D787" s="29"/>
      <c r="E787" s="29"/>
      <c r="F787" s="28"/>
      <c r="G787" s="29"/>
      <c r="H787" s="29"/>
      <c r="I787" s="28"/>
    </row>
    <row r="788" spans="1:9" ht="12.75" x14ac:dyDescent="0.2">
      <c r="A788" s="28"/>
      <c r="B788" s="29"/>
      <c r="C788" s="29"/>
      <c r="D788" s="29"/>
      <c r="E788" s="29"/>
      <c r="F788" s="28"/>
      <c r="G788" s="29"/>
      <c r="H788" s="29"/>
      <c r="I788" s="28"/>
    </row>
    <row r="789" spans="1:9" ht="12.75" x14ac:dyDescent="0.2">
      <c r="A789" s="28"/>
      <c r="B789" s="29"/>
      <c r="C789" s="29"/>
      <c r="D789" s="29"/>
      <c r="E789" s="29"/>
      <c r="F789" s="28"/>
      <c r="G789" s="29"/>
      <c r="H789" s="29"/>
      <c r="I789" s="28"/>
    </row>
    <row r="790" spans="1:9" ht="12.75" x14ac:dyDescent="0.2">
      <c r="A790" s="28"/>
      <c r="B790" s="29"/>
      <c r="C790" s="29"/>
      <c r="D790" s="29"/>
      <c r="E790" s="29"/>
      <c r="F790" s="28"/>
      <c r="G790" s="29"/>
      <c r="H790" s="29"/>
      <c r="I790" s="28"/>
    </row>
    <row r="791" spans="1:9" ht="12.75" x14ac:dyDescent="0.2">
      <c r="A791" s="28"/>
      <c r="B791" s="29"/>
      <c r="C791" s="29"/>
      <c r="D791" s="29"/>
      <c r="E791" s="29"/>
      <c r="F791" s="28"/>
      <c r="G791" s="29"/>
      <c r="H791" s="29"/>
      <c r="I791" s="28"/>
    </row>
    <row r="792" spans="1:9" ht="12.75" x14ac:dyDescent="0.2">
      <c r="A792" s="28"/>
      <c r="B792" s="29"/>
      <c r="C792" s="29"/>
      <c r="D792" s="29"/>
      <c r="E792" s="29"/>
      <c r="F792" s="28"/>
      <c r="G792" s="29"/>
      <c r="H792" s="29"/>
      <c r="I792" s="28"/>
    </row>
    <row r="793" spans="1:9" ht="12.75" x14ac:dyDescent="0.2">
      <c r="A793" s="28"/>
      <c r="B793" s="29"/>
      <c r="C793" s="29"/>
      <c r="D793" s="29"/>
      <c r="E793" s="29"/>
      <c r="F793" s="28"/>
      <c r="G793" s="29"/>
      <c r="H793" s="29"/>
      <c r="I793" s="28"/>
    </row>
    <row r="794" spans="1:9" ht="12.75" x14ac:dyDescent="0.2">
      <c r="A794" s="28"/>
      <c r="B794" s="29"/>
      <c r="C794" s="29"/>
      <c r="D794" s="29"/>
      <c r="E794" s="29"/>
      <c r="F794" s="28"/>
      <c r="G794" s="29"/>
      <c r="H794" s="29"/>
      <c r="I794" s="28"/>
    </row>
    <row r="795" spans="1:9" ht="12.75" x14ac:dyDescent="0.2">
      <c r="A795" s="28"/>
      <c r="B795" s="29"/>
      <c r="C795" s="29"/>
      <c r="D795" s="29"/>
      <c r="E795" s="29"/>
      <c r="F795" s="28"/>
      <c r="G795" s="29"/>
      <c r="H795" s="29"/>
      <c r="I795" s="28"/>
    </row>
    <row r="796" spans="1:9" ht="12.75" x14ac:dyDescent="0.2">
      <c r="A796" s="28"/>
      <c r="B796" s="29"/>
      <c r="C796" s="29"/>
      <c r="D796" s="29"/>
      <c r="E796" s="29"/>
      <c r="F796" s="28"/>
      <c r="G796" s="29"/>
      <c r="H796" s="29"/>
      <c r="I796" s="28"/>
    </row>
    <row r="797" spans="1:9" ht="12.75" x14ac:dyDescent="0.2">
      <c r="A797" s="28"/>
      <c r="B797" s="29"/>
      <c r="C797" s="29"/>
      <c r="D797" s="29"/>
      <c r="E797" s="29"/>
      <c r="F797" s="28"/>
      <c r="G797" s="29"/>
      <c r="H797" s="29"/>
      <c r="I797" s="28"/>
    </row>
    <row r="798" spans="1:9" ht="12.75" x14ac:dyDescent="0.2">
      <c r="A798" s="28"/>
      <c r="B798" s="29"/>
      <c r="C798" s="29"/>
      <c r="D798" s="29"/>
      <c r="E798" s="29"/>
      <c r="F798" s="28"/>
      <c r="G798" s="29"/>
      <c r="H798" s="29"/>
      <c r="I798" s="28"/>
    </row>
    <row r="799" spans="1:9" ht="12.75" x14ac:dyDescent="0.2">
      <c r="A799" s="28"/>
      <c r="B799" s="29"/>
      <c r="C799" s="29"/>
      <c r="D799" s="29"/>
      <c r="E799" s="29"/>
      <c r="F799" s="28"/>
      <c r="G799" s="29"/>
      <c r="H799" s="29"/>
      <c r="I799" s="28"/>
    </row>
    <row r="800" spans="1:9" ht="12.75" x14ac:dyDescent="0.2">
      <c r="A800" s="28"/>
      <c r="B800" s="29"/>
      <c r="C800" s="29"/>
      <c r="D800" s="29"/>
      <c r="E800" s="29"/>
      <c r="F800" s="28"/>
      <c r="G800" s="29"/>
      <c r="H800" s="29"/>
      <c r="I800" s="28"/>
    </row>
    <row r="801" spans="1:9" ht="12.75" x14ac:dyDescent="0.2">
      <c r="A801" s="28"/>
      <c r="B801" s="29"/>
      <c r="C801" s="29"/>
      <c r="D801" s="29"/>
      <c r="E801" s="29"/>
      <c r="F801" s="28"/>
      <c r="G801" s="29"/>
      <c r="H801" s="29"/>
      <c r="I801" s="28"/>
    </row>
    <row r="802" spans="1:9" ht="12.75" x14ac:dyDescent="0.2">
      <c r="A802" s="28"/>
      <c r="B802" s="29"/>
      <c r="C802" s="29"/>
      <c r="D802" s="29"/>
      <c r="E802" s="29"/>
      <c r="F802" s="28"/>
      <c r="G802" s="29"/>
      <c r="H802" s="29"/>
      <c r="I802" s="28"/>
    </row>
    <row r="803" spans="1:9" ht="12.75" x14ac:dyDescent="0.2">
      <c r="A803" s="28"/>
      <c r="B803" s="29"/>
      <c r="C803" s="29"/>
      <c r="D803" s="29"/>
      <c r="E803" s="29"/>
      <c r="F803" s="28"/>
      <c r="G803" s="29"/>
      <c r="H803" s="29"/>
      <c r="I803" s="28"/>
    </row>
    <row r="804" spans="1:9" ht="12.75" x14ac:dyDescent="0.2">
      <c r="A804" s="28"/>
      <c r="B804" s="29"/>
      <c r="C804" s="29"/>
      <c r="D804" s="29"/>
      <c r="E804" s="29"/>
      <c r="F804" s="28"/>
      <c r="G804" s="29"/>
      <c r="H804" s="29"/>
      <c r="I804" s="28"/>
    </row>
    <row r="805" spans="1:9" ht="12.75" x14ac:dyDescent="0.2">
      <c r="A805" s="28"/>
      <c r="B805" s="29"/>
      <c r="C805" s="29"/>
      <c r="D805" s="29"/>
      <c r="E805" s="29"/>
      <c r="F805" s="28"/>
      <c r="G805" s="29"/>
      <c r="H805" s="29"/>
      <c r="I805" s="28"/>
    </row>
    <row r="806" spans="1:9" ht="12.75" x14ac:dyDescent="0.2">
      <c r="A806" s="28"/>
      <c r="B806" s="29"/>
      <c r="C806" s="29"/>
      <c r="D806" s="29"/>
      <c r="E806" s="29"/>
      <c r="F806" s="28"/>
      <c r="G806" s="29"/>
      <c r="H806" s="29"/>
      <c r="I806" s="28"/>
    </row>
    <row r="807" spans="1:9" ht="12.75" x14ac:dyDescent="0.2">
      <c r="A807" s="28"/>
      <c r="B807" s="29"/>
      <c r="C807" s="29"/>
      <c r="D807" s="29"/>
      <c r="E807" s="29"/>
      <c r="F807" s="28"/>
      <c r="G807" s="29"/>
      <c r="H807" s="29"/>
      <c r="I807" s="28"/>
    </row>
    <row r="808" spans="1:9" ht="12.75" x14ac:dyDescent="0.2">
      <c r="A808" s="28"/>
      <c r="B808" s="29"/>
      <c r="C808" s="29"/>
      <c r="D808" s="29"/>
      <c r="E808" s="29"/>
      <c r="F808" s="28"/>
      <c r="G808" s="29"/>
      <c r="H808" s="29"/>
      <c r="I808" s="28"/>
    </row>
    <row r="809" spans="1:9" ht="12.75" x14ac:dyDescent="0.2">
      <c r="A809" s="28"/>
      <c r="B809" s="29"/>
      <c r="C809" s="29"/>
      <c r="D809" s="29"/>
      <c r="E809" s="29"/>
      <c r="F809" s="28"/>
      <c r="G809" s="29"/>
      <c r="H809" s="29"/>
      <c r="I809" s="28"/>
    </row>
    <row r="810" spans="1:9" ht="12.75" x14ac:dyDescent="0.2">
      <c r="A810" s="28"/>
      <c r="B810" s="29"/>
      <c r="C810" s="29"/>
      <c r="D810" s="29"/>
      <c r="E810" s="29"/>
      <c r="F810" s="28"/>
      <c r="G810" s="29"/>
      <c r="H810" s="29"/>
      <c r="I810" s="28"/>
    </row>
    <row r="811" spans="1:9" ht="12.75" x14ac:dyDescent="0.2">
      <c r="A811" s="28"/>
      <c r="B811" s="29"/>
      <c r="C811" s="29"/>
      <c r="D811" s="29"/>
      <c r="E811" s="29"/>
      <c r="F811" s="28"/>
      <c r="G811" s="29"/>
      <c r="H811" s="29"/>
      <c r="I811" s="28"/>
    </row>
    <row r="812" spans="1:9" ht="12.75" x14ac:dyDescent="0.2">
      <c r="A812" s="28"/>
      <c r="B812" s="29"/>
      <c r="C812" s="29"/>
      <c r="D812" s="29"/>
      <c r="E812" s="29"/>
      <c r="F812" s="28"/>
      <c r="G812" s="29"/>
      <c r="H812" s="29"/>
      <c r="I812" s="28"/>
    </row>
    <row r="813" spans="1:9" ht="12.75" x14ac:dyDescent="0.2">
      <c r="A813" s="28"/>
      <c r="B813" s="29"/>
      <c r="C813" s="29"/>
      <c r="D813" s="29"/>
      <c r="E813" s="29"/>
      <c r="F813" s="28"/>
      <c r="G813" s="29"/>
      <c r="H813" s="29"/>
      <c r="I813" s="28"/>
    </row>
    <row r="814" spans="1:9" ht="12.75" x14ac:dyDescent="0.2">
      <c r="A814" s="28"/>
      <c r="B814" s="29"/>
      <c r="C814" s="29"/>
      <c r="D814" s="29"/>
      <c r="E814" s="29"/>
      <c r="F814" s="28"/>
      <c r="G814" s="29"/>
      <c r="H814" s="29"/>
      <c r="I814" s="28"/>
    </row>
    <row r="815" spans="1:9" ht="12.75" x14ac:dyDescent="0.2">
      <c r="A815" s="28"/>
      <c r="B815" s="29"/>
      <c r="C815" s="29"/>
      <c r="D815" s="29"/>
      <c r="E815" s="29"/>
      <c r="F815" s="28"/>
      <c r="G815" s="29"/>
      <c r="H815" s="29"/>
      <c r="I815" s="28"/>
    </row>
    <row r="816" spans="1:9" ht="12.75" x14ac:dyDescent="0.2">
      <c r="A816" s="28"/>
      <c r="B816" s="29"/>
      <c r="C816" s="29"/>
      <c r="D816" s="29"/>
      <c r="E816" s="29"/>
      <c r="F816" s="28"/>
      <c r="G816" s="29"/>
      <c r="H816" s="29"/>
      <c r="I816" s="28"/>
    </row>
    <row r="817" spans="1:9" ht="12.75" x14ac:dyDescent="0.2">
      <c r="A817" s="28"/>
      <c r="B817" s="29"/>
      <c r="C817" s="29"/>
      <c r="D817" s="29"/>
      <c r="E817" s="29"/>
      <c r="F817" s="28"/>
      <c r="G817" s="29"/>
      <c r="H817" s="29"/>
      <c r="I817" s="28"/>
    </row>
    <row r="818" spans="1:9" ht="12.75" x14ac:dyDescent="0.2">
      <c r="A818" s="28"/>
      <c r="B818" s="29"/>
      <c r="C818" s="29"/>
      <c r="D818" s="29"/>
      <c r="E818" s="29"/>
      <c r="F818" s="28"/>
      <c r="G818" s="29"/>
      <c r="H818" s="29"/>
      <c r="I818" s="28"/>
    </row>
    <row r="819" spans="1:9" ht="12.75" x14ac:dyDescent="0.2">
      <c r="A819" s="28"/>
      <c r="B819" s="29"/>
      <c r="C819" s="29"/>
      <c r="D819" s="29"/>
      <c r="E819" s="29"/>
      <c r="F819" s="28"/>
      <c r="G819" s="29"/>
      <c r="H819" s="29"/>
      <c r="I819" s="28"/>
    </row>
    <row r="820" spans="1:9" ht="12.75" x14ac:dyDescent="0.2">
      <c r="A820" s="28"/>
      <c r="B820" s="29"/>
      <c r="C820" s="29"/>
      <c r="D820" s="29"/>
      <c r="E820" s="29"/>
      <c r="F820" s="28"/>
      <c r="G820" s="29"/>
      <c r="H820" s="29"/>
      <c r="I820" s="28"/>
    </row>
    <row r="821" spans="1:9" ht="12.75" x14ac:dyDescent="0.2">
      <c r="A821" s="28"/>
      <c r="B821" s="29"/>
      <c r="C821" s="29"/>
      <c r="D821" s="29"/>
      <c r="E821" s="29"/>
      <c r="F821" s="28"/>
      <c r="G821" s="29"/>
      <c r="H821" s="29"/>
      <c r="I821" s="28"/>
    </row>
    <row r="822" spans="1:9" ht="12.75" x14ac:dyDescent="0.2">
      <c r="A822" s="28"/>
      <c r="B822" s="29"/>
      <c r="C822" s="29"/>
      <c r="D822" s="29"/>
      <c r="E822" s="29"/>
      <c r="F822" s="28"/>
      <c r="G822" s="29"/>
      <c r="H822" s="29"/>
      <c r="I822" s="28"/>
    </row>
    <row r="823" spans="1:9" ht="12.75" x14ac:dyDescent="0.2">
      <c r="A823" s="28"/>
      <c r="B823" s="29"/>
      <c r="C823" s="29"/>
      <c r="D823" s="29"/>
      <c r="E823" s="29"/>
      <c r="F823" s="28"/>
      <c r="G823" s="29"/>
      <c r="H823" s="29"/>
      <c r="I823" s="28"/>
    </row>
    <row r="824" spans="1:9" ht="12.75" x14ac:dyDescent="0.2">
      <c r="A824" s="28"/>
      <c r="B824" s="29"/>
      <c r="C824" s="29"/>
      <c r="D824" s="29"/>
      <c r="E824" s="29"/>
      <c r="F824" s="28"/>
      <c r="G824" s="29"/>
      <c r="H824" s="29"/>
      <c r="I824" s="28"/>
    </row>
    <row r="825" spans="1:9" ht="12.75" x14ac:dyDescent="0.2">
      <c r="A825" s="28"/>
      <c r="B825" s="29"/>
      <c r="C825" s="29"/>
      <c r="D825" s="29"/>
      <c r="E825" s="29"/>
      <c r="F825" s="28"/>
      <c r="G825" s="29"/>
      <c r="H825" s="29"/>
      <c r="I825" s="28"/>
    </row>
    <row r="826" spans="1:9" ht="12.75" x14ac:dyDescent="0.2">
      <c r="A826" s="28"/>
      <c r="B826" s="29"/>
      <c r="C826" s="29"/>
      <c r="D826" s="29"/>
      <c r="E826" s="29"/>
      <c r="F826" s="28"/>
      <c r="G826" s="29"/>
      <c r="H826" s="29"/>
      <c r="I826" s="28"/>
    </row>
    <row r="827" spans="1:9" ht="12.75" x14ac:dyDescent="0.2">
      <c r="A827" s="28"/>
      <c r="B827" s="29"/>
      <c r="C827" s="29"/>
      <c r="D827" s="29"/>
      <c r="E827" s="29"/>
      <c r="F827" s="28"/>
      <c r="G827" s="29"/>
      <c r="H827" s="29"/>
      <c r="I827" s="28"/>
    </row>
    <row r="828" spans="1:9" ht="12.75" x14ac:dyDescent="0.2">
      <c r="A828" s="28"/>
      <c r="B828" s="29"/>
      <c r="C828" s="29"/>
      <c r="D828" s="29"/>
      <c r="E828" s="29"/>
      <c r="F828" s="28"/>
      <c r="G828" s="29"/>
      <c r="H828" s="29"/>
      <c r="I828" s="28"/>
    </row>
    <row r="829" spans="1:9" ht="12.75" x14ac:dyDescent="0.2">
      <c r="A829" s="28"/>
      <c r="B829" s="29"/>
      <c r="C829" s="29"/>
      <c r="D829" s="29"/>
      <c r="E829" s="29"/>
      <c r="F829" s="28"/>
      <c r="G829" s="29"/>
      <c r="H829" s="29"/>
      <c r="I829" s="28"/>
    </row>
    <row r="830" spans="1:9" ht="12.75" x14ac:dyDescent="0.2">
      <c r="A830" s="28"/>
      <c r="B830" s="29"/>
      <c r="C830" s="29"/>
      <c r="D830" s="29"/>
      <c r="E830" s="29"/>
      <c r="F830" s="28"/>
      <c r="G830" s="29"/>
      <c r="H830" s="29"/>
      <c r="I830" s="28"/>
    </row>
    <row r="831" spans="1:9" ht="12.75" x14ac:dyDescent="0.2">
      <c r="A831" s="28"/>
      <c r="B831" s="29"/>
      <c r="C831" s="29"/>
      <c r="D831" s="29"/>
      <c r="E831" s="29"/>
      <c r="F831" s="28"/>
      <c r="G831" s="29"/>
      <c r="H831" s="29"/>
      <c r="I831" s="28"/>
    </row>
    <row r="832" spans="1:9" ht="12.75" x14ac:dyDescent="0.2">
      <c r="A832" s="28"/>
      <c r="B832" s="29"/>
      <c r="C832" s="29"/>
      <c r="D832" s="29"/>
      <c r="E832" s="29"/>
      <c r="F832" s="28"/>
      <c r="G832" s="29"/>
      <c r="H832" s="29"/>
      <c r="I832" s="28"/>
    </row>
    <row r="833" spans="1:9" ht="12.75" x14ac:dyDescent="0.2">
      <c r="A833" s="28"/>
      <c r="B833" s="29"/>
      <c r="C833" s="29"/>
      <c r="D833" s="29"/>
      <c r="E833" s="29"/>
      <c r="F833" s="28"/>
      <c r="G833" s="29"/>
      <c r="H833" s="29"/>
      <c r="I833" s="28"/>
    </row>
    <row r="834" spans="1:9" ht="12.75" x14ac:dyDescent="0.2">
      <c r="A834" s="28"/>
      <c r="B834" s="29"/>
      <c r="C834" s="29"/>
      <c r="D834" s="29"/>
      <c r="E834" s="29"/>
      <c r="F834" s="28"/>
      <c r="G834" s="29"/>
      <c r="H834" s="29"/>
      <c r="I834" s="28"/>
    </row>
    <row r="835" spans="1:9" ht="12.75" x14ac:dyDescent="0.2">
      <c r="A835" s="28"/>
      <c r="B835" s="29"/>
      <c r="C835" s="29"/>
      <c r="D835" s="29"/>
      <c r="E835" s="29"/>
      <c r="F835" s="28"/>
      <c r="G835" s="29"/>
      <c r="H835" s="29"/>
      <c r="I835" s="28"/>
    </row>
    <row r="836" spans="1:9" ht="12.75" x14ac:dyDescent="0.2">
      <c r="A836" s="28"/>
      <c r="B836" s="29"/>
      <c r="C836" s="29"/>
      <c r="D836" s="29"/>
      <c r="E836" s="29"/>
      <c r="F836" s="28"/>
      <c r="G836" s="29"/>
      <c r="H836" s="29"/>
      <c r="I836" s="28"/>
    </row>
    <row r="837" spans="1:9" ht="12.75" x14ac:dyDescent="0.2">
      <c r="A837" s="28"/>
      <c r="B837" s="29"/>
      <c r="C837" s="29"/>
      <c r="D837" s="29"/>
      <c r="E837" s="29"/>
      <c r="F837" s="28"/>
      <c r="G837" s="29"/>
      <c r="H837" s="29"/>
      <c r="I837" s="28"/>
    </row>
    <row r="838" spans="1:9" ht="12.75" x14ac:dyDescent="0.2">
      <c r="A838" s="28"/>
      <c r="B838" s="29"/>
      <c r="C838" s="29"/>
      <c r="D838" s="29"/>
      <c r="E838" s="29"/>
      <c r="F838" s="28"/>
      <c r="G838" s="29"/>
      <c r="H838" s="29"/>
      <c r="I838" s="28"/>
    </row>
    <row r="839" spans="1:9" ht="12.75" x14ac:dyDescent="0.2">
      <c r="A839" s="28"/>
      <c r="B839" s="29"/>
      <c r="C839" s="29"/>
      <c r="D839" s="29"/>
      <c r="E839" s="29"/>
      <c r="F839" s="28"/>
      <c r="G839" s="29"/>
      <c r="H839" s="29"/>
      <c r="I839" s="28"/>
    </row>
    <row r="840" spans="1:9" ht="12.75" x14ac:dyDescent="0.2">
      <c r="A840" s="28"/>
      <c r="B840" s="29"/>
      <c r="C840" s="29"/>
      <c r="D840" s="29"/>
      <c r="E840" s="29"/>
      <c r="F840" s="28"/>
      <c r="G840" s="29"/>
      <c r="H840" s="29"/>
      <c r="I840" s="28"/>
    </row>
    <row r="841" spans="1:9" ht="12.75" x14ac:dyDescent="0.2">
      <c r="A841" s="28"/>
      <c r="B841" s="29"/>
      <c r="C841" s="29"/>
      <c r="D841" s="29"/>
      <c r="E841" s="29"/>
      <c r="F841" s="28"/>
      <c r="G841" s="29"/>
      <c r="H841" s="29"/>
      <c r="I841" s="28"/>
    </row>
    <row r="842" spans="1:9" ht="12.75" x14ac:dyDescent="0.2">
      <c r="A842" s="28"/>
      <c r="B842" s="29"/>
      <c r="C842" s="29"/>
      <c r="D842" s="29"/>
      <c r="E842" s="29"/>
      <c r="F842" s="28"/>
      <c r="G842" s="29"/>
      <c r="H842" s="29"/>
      <c r="I842" s="28"/>
    </row>
    <row r="843" spans="1:9" ht="12.75" x14ac:dyDescent="0.2">
      <c r="A843" s="28"/>
      <c r="B843" s="29"/>
      <c r="C843" s="29"/>
      <c r="D843" s="29"/>
      <c r="E843" s="29"/>
      <c r="F843" s="28"/>
      <c r="G843" s="29"/>
      <c r="H843" s="29"/>
      <c r="I843" s="28"/>
    </row>
    <row r="844" spans="1:9" ht="12.75" x14ac:dyDescent="0.2">
      <c r="A844" s="28"/>
      <c r="B844" s="29"/>
      <c r="C844" s="29"/>
      <c r="D844" s="29"/>
      <c r="E844" s="29"/>
      <c r="F844" s="28"/>
      <c r="G844" s="29"/>
      <c r="H844" s="29"/>
      <c r="I844" s="28"/>
    </row>
    <row r="845" spans="1:9" ht="12.75" x14ac:dyDescent="0.2">
      <c r="A845" s="28"/>
      <c r="B845" s="29"/>
      <c r="C845" s="29"/>
      <c r="D845" s="29"/>
      <c r="E845" s="29"/>
      <c r="F845" s="28"/>
      <c r="G845" s="29"/>
      <c r="H845" s="29"/>
      <c r="I845" s="28"/>
    </row>
    <row r="846" spans="1:9" ht="12.75" x14ac:dyDescent="0.2">
      <c r="A846" s="28"/>
      <c r="B846" s="29"/>
      <c r="C846" s="29"/>
      <c r="D846" s="29"/>
      <c r="E846" s="29"/>
      <c r="F846" s="28"/>
      <c r="G846" s="29"/>
      <c r="H846" s="29"/>
      <c r="I846" s="28"/>
    </row>
    <row r="847" spans="1:9" ht="12.75" x14ac:dyDescent="0.2">
      <c r="A847" s="28"/>
      <c r="B847" s="29"/>
      <c r="C847" s="29"/>
      <c r="D847" s="29"/>
      <c r="E847" s="29"/>
      <c r="F847" s="28"/>
      <c r="G847" s="29"/>
      <c r="H847" s="29"/>
      <c r="I847" s="28"/>
    </row>
    <row r="848" spans="1:9" ht="12.75" x14ac:dyDescent="0.2">
      <c r="A848" s="28"/>
      <c r="B848" s="29"/>
      <c r="C848" s="29"/>
      <c r="D848" s="29"/>
      <c r="E848" s="29"/>
      <c r="F848" s="28"/>
      <c r="G848" s="29"/>
      <c r="H848" s="29"/>
      <c r="I848" s="28"/>
    </row>
    <row r="849" spans="1:9" ht="12.75" x14ac:dyDescent="0.2">
      <c r="A849" s="28"/>
      <c r="B849" s="29"/>
      <c r="C849" s="29"/>
      <c r="D849" s="29"/>
      <c r="E849" s="29"/>
      <c r="F849" s="28"/>
      <c r="G849" s="29"/>
      <c r="H849" s="29"/>
      <c r="I849" s="28"/>
    </row>
    <row r="850" spans="1:9" ht="12.75" x14ac:dyDescent="0.2">
      <c r="A850" s="28"/>
      <c r="B850" s="29"/>
      <c r="C850" s="29"/>
      <c r="D850" s="29"/>
      <c r="E850" s="29"/>
      <c r="F850" s="28"/>
      <c r="G850" s="29"/>
      <c r="H850" s="29"/>
      <c r="I850" s="28"/>
    </row>
    <row r="851" spans="1:9" ht="12.75" x14ac:dyDescent="0.2">
      <c r="A851" s="28"/>
      <c r="B851" s="29"/>
      <c r="C851" s="29"/>
      <c r="D851" s="29"/>
      <c r="E851" s="29"/>
      <c r="F851" s="28"/>
      <c r="G851" s="29"/>
      <c r="H851" s="29"/>
      <c r="I851" s="28"/>
    </row>
    <row r="852" spans="1:9" ht="12.75" x14ac:dyDescent="0.2">
      <c r="A852" s="28"/>
      <c r="B852" s="29"/>
      <c r="C852" s="29"/>
      <c r="D852" s="29"/>
      <c r="E852" s="29"/>
      <c r="F852" s="28"/>
      <c r="G852" s="29"/>
      <c r="H852" s="29"/>
      <c r="I852" s="28"/>
    </row>
    <row r="853" spans="1:9" ht="12.75" x14ac:dyDescent="0.2">
      <c r="A853" s="28"/>
      <c r="B853" s="29"/>
      <c r="C853" s="29"/>
      <c r="D853" s="29"/>
      <c r="E853" s="29"/>
      <c r="F853" s="28"/>
      <c r="G853" s="29"/>
      <c r="H853" s="29"/>
      <c r="I853" s="28"/>
    </row>
    <row r="854" spans="1:9" ht="12.75" x14ac:dyDescent="0.2">
      <c r="A854" s="28"/>
      <c r="B854" s="29"/>
      <c r="C854" s="29"/>
      <c r="D854" s="29"/>
      <c r="E854" s="29"/>
      <c r="F854" s="28"/>
      <c r="G854" s="29"/>
      <c r="H854" s="29"/>
      <c r="I854" s="28"/>
    </row>
    <row r="855" spans="1:9" ht="12.75" x14ac:dyDescent="0.2">
      <c r="A855" s="28"/>
      <c r="B855" s="29"/>
      <c r="C855" s="29"/>
      <c r="D855" s="29"/>
      <c r="E855" s="29"/>
      <c r="F855" s="28"/>
      <c r="G855" s="29"/>
      <c r="H855" s="29"/>
      <c r="I855" s="28"/>
    </row>
    <row r="856" spans="1:9" ht="12.75" x14ac:dyDescent="0.2">
      <c r="A856" s="28"/>
      <c r="B856" s="29"/>
      <c r="C856" s="29"/>
      <c r="D856" s="29"/>
      <c r="E856" s="29"/>
      <c r="F856" s="28"/>
      <c r="G856" s="29"/>
      <c r="H856" s="29"/>
      <c r="I856" s="28"/>
    </row>
    <row r="857" spans="1:9" ht="12.75" x14ac:dyDescent="0.2">
      <c r="A857" s="28"/>
      <c r="B857" s="29"/>
      <c r="C857" s="29"/>
      <c r="D857" s="29"/>
      <c r="E857" s="29"/>
      <c r="F857" s="28"/>
      <c r="G857" s="29"/>
      <c r="H857" s="29"/>
      <c r="I857" s="28"/>
    </row>
    <row r="858" spans="1:9" ht="12.75" x14ac:dyDescent="0.2">
      <c r="A858" s="28"/>
      <c r="B858" s="29"/>
      <c r="C858" s="29"/>
      <c r="D858" s="29"/>
      <c r="E858" s="29"/>
      <c r="F858" s="28"/>
      <c r="G858" s="29"/>
      <c r="H858" s="29"/>
      <c r="I858" s="28"/>
    </row>
    <row r="859" spans="1:9" ht="12.75" x14ac:dyDescent="0.2">
      <c r="A859" s="28"/>
      <c r="B859" s="29"/>
      <c r="C859" s="29"/>
      <c r="D859" s="29"/>
      <c r="E859" s="29"/>
      <c r="F859" s="28"/>
      <c r="G859" s="29"/>
      <c r="H859" s="29"/>
      <c r="I859" s="28"/>
    </row>
    <row r="860" spans="1:9" ht="12.75" x14ac:dyDescent="0.2">
      <c r="A860" s="28"/>
      <c r="B860" s="29"/>
      <c r="C860" s="29"/>
      <c r="D860" s="29"/>
      <c r="E860" s="29"/>
      <c r="F860" s="28"/>
      <c r="G860" s="29"/>
      <c r="H860" s="29"/>
      <c r="I860" s="28"/>
    </row>
    <row r="861" spans="1:9" ht="12.75" x14ac:dyDescent="0.2">
      <c r="A861" s="28"/>
      <c r="B861" s="29"/>
      <c r="C861" s="29"/>
      <c r="D861" s="29"/>
      <c r="E861" s="29"/>
      <c r="F861" s="28"/>
      <c r="G861" s="29"/>
      <c r="H861" s="29"/>
      <c r="I861" s="28"/>
    </row>
    <row r="862" spans="1:9" ht="12.75" x14ac:dyDescent="0.2">
      <c r="A862" s="28"/>
      <c r="B862" s="29"/>
      <c r="C862" s="29"/>
      <c r="D862" s="29"/>
      <c r="E862" s="29"/>
      <c r="F862" s="28"/>
      <c r="G862" s="29"/>
      <c r="H862" s="29"/>
      <c r="I862" s="28"/>
    </row>
    <row r="863" spans="1:9" ht="12.75" x14ac:dyDescent="0.2">
      <c r="A863" s="28"/>
      <c r="B863" s="29"/>
      <c r="C863" s="29"/>
      <c r="D863" s="29"/>
      <c r="E863" s="29"/>
      <c r="F863" s="28"/>
      <c r="G863" s="29"/>
      <c r="H863" s="29"/>
      <c r="I863" s="28"/>
    </row>
    <row r="864" spans="1:9" ht="12.75" x14ac:dyDescent="0.2">
      <c r="A864" s="28"/>
      <c r="B864" s="29"/>
      <c r="C864" s="29"/>
      <c r="D864" s="29"/>
      <c r="E864" s="29"/>
      <c r="F864" s="28"/>
      <c r="G864" s="29"/>
      <c r="H864" s="29"/>
      <c r="I864" s="28"/>
    </row>
    <row r="865" spans="1:9" ht="12.75" x14ac:dyDescent="0.2">
      <c r="A865" s="28"/>
      <c r="B865" s="29"/>
      <c r="C865" s="29"/>
      <c r="D865" s="29"/>
      <c r="E865" s="29"/>
      <c r="F865" s="28"/>
      <c r="G865" s="29"/>
      <c r="H865" s="29"/>
      <c r="I865" s="28"/>
    </row>
    <row r="866" spans="1:9" ht="12.75" x14ac:dyDescent="0.2">
      <c r="A866" s="28"/>
      <c r="B866" s="29"/>
      <c r="C866" s="29"/>
      <c r="D866" s="29"/>
      <c r="E866" s="29"/>
      <c r="F866" s="28"/>
      <c r="G866" s="29"/>
      <c r="H866" s="29"/>
      <c r="I866" s="28"/>
    </row>
    <row r="867" spans="1:9" ht="12.75" x14ac:dyDescent="0.2">
      <c r="A867" s="28"/>
      <c r="B867" s="29"/>
      <c r="C867" s="29"/>
      <c r="D867" s="29"/>
      <c r="E867" s="29"/>
      <c r="F867" s="28"/>
      <c r="G867" s="29"/>
      <c r="H867" s="29"/>
      <c r="I867" s="28"/>
    </row>
    <row r="868" spans="1:9" ht="12.75" x14ac:dyDescent="0.2">
      <c r="A868" s="28"/>
      <c r="B868" s="29"/>
      <c r="C868" s="29"/>
      <c r="D868" s="29"/>
      <c r="E868" s="29"/>
      <c r="F868" s="28"/>
      <c r="G868" s="29"/>
      <c r="H868" s="29"/>
      <c r="I868" s="28"/>
    </row>
    <row r="869" spans="1:9" ht="12.75" x14ac:dyDescent="0.2">
      <c r="A869" s="28"/>
      <c r="B869" s="29"/>
      <c r="C869" s="29"/>
      <c r="D869" s="29"/>
      <c r="E869" s="29"/>
      <c r="F869" s="28"/>
      <c r="G869" s="29"/>
      <c r="H869" s="29"/>
      <c r="I869" s="28"/>
    </row>
    <row r="870" spans="1:9" ht="12.75" x14ac:dyDescent="0.2">
      <c r="A870" s="28"/>
      <c r="B870" s="29"/>
      <c r="C870" s="29"/>
      <c r="D870" s="29"/>
      <c r="E870" s="29"/>
      <c r="F870" s="28"/>
      <c r="G870" s="29"/>
      <c r="H870" s="29"/>
      <c r="I870" s="28"/>
    </row>
    <row r="871" spans="1:9" ht="12.75" x14ac:dyDescent="0.2">
      <c r="A871" s="28"/>
      <c r="B871" s="29"/>
      <c r="C871" s="29"/>
      <c r="D871" s="29"/>
      <c r="E871" s="29"/>
      <c r="F871" s="28"/>
      <c r="G871" s="29"/>
      <c r="H871" s="29"/>
      <c r="I871" s="28"/>
    </row>
    <row r="872" spans="1:9" ht="12.75" x14ac:dyDescent="0.2">
      <c r="A872" s="28"/>
      <c r="B872" s="29"/>
      <c r="C872" s="29"/>
      <c r="D872" s="29"/>
      <c r="E872" s="29"/>
      <c r="F872" s="28"/>
      <c r="G872" s="29"/>
      <c r="H872" s="29"/>
      <c r="I872" s="28"/>
    </row>
    <row r="873" spans="1:9" ht="12.75" x14ac:dyDescent="0.2">
      <c r="A873" s="28"/>
      <c r="B873" s="29"/>
      <c r="C873" s="29"/>
      <c r="D873" s="29"/>
      <c r="E873" s="29"/>
      <c r="F873" s="28"/>
      <c r="G873" s="29"/>
      <c r="H873" s="29"/>
      <c r="I873" s="28"/>
    </row>
    <row r="874" spans="1:9" ht="12.75" x14ac:dyDescent="0.2">
      <c r="A874" s="28"/>
      <c r="B874" s="29"/>
      <c r="C874" s="29"/>
      <c r="D874" s="29"/>
      <c r="E874" s="29"/>
      <c r="F874" s="28"/>
      <c r="G874" s="29"/>
      <c r="H874" s="29"/>
      <c r="I874" s="28"/>
    </row>
    <row r="875" spans="1:9" ht="12.75" x14ac:dyDescent="0.2">
      <c r="A875" s="28"/>
      <c r="B875" s="29"/>
      <c r="C875" s="29"/>
      <c r="D875" s="29"/>
      <c r="E875" s="29"/>
      <c r="F875" s="28"/>
      <c r="G875" s="29"/>
      <c r="H875" s="29"/>
      <c r="I875" s="28"/>
    </row>
    <row r="876" spans="1:9" ht="12.75" x14ac:dyDescent="0.2">
      <c r="A876" s="28"/>
      <c r="B876" s="29"/>
      <c r="C876" s="29"/>
      <c r="D876" s="29"/>
      <c r="E876" s="29"/>
      <c r="F876" s="28"/>
      <c r="G876" s="29"/>
      <c r="H876" s="29"/>
      <c r="I876" s="28"/>
    </row>
    <row r="877" spans="1:9" ht="12.75" x14ac:dyDescent="0.2">
      <c r="A877" s="28"/>
      <c r="B877" s="29"/>
      <c r="C877" s="29"/>
      <c r="D877" s="29"/>
      <c r="E877" s="29"/>
      <c r="F877" s="28"/>
      <c r="G877" s="29"/>
      <c r="H877" s="29"/>
      <c r="I877" s="28"/>
    </row>
    <row r="878" spans="1:9" ht="12.75" x14ac:dyDescent="0.2">
      <c r="A878" s="28"/>
      <c r="B878" s="29"/>
      <c r="C878" s="29"/>
      <c r="D878" s="29"/>
      <c r="E878" s="29"/>
      <c r="F878" s="28"/>
      <c r="G878" s="29"/>
      <c r="H878" s="29"/>
      <c r="I878" s="28"/>
    </row>
    <row r="879" spans="1:9" ht="12.75" x14ac:dyDescent="0.2">
      <c r="A879" s="28"/>
      <c r="B879" s="29"/>
      <c r="C879" s="29"/>
      <c r="D879" s="29"/>
      <c r="E879" s="29"/>
      <c r="F879" s="28"/>
      <c r="G879" s="29"/>
      <c r="H879" s="29"/>
      <c r="I879" s="28"/>
    </row>
    <row r="880" spans="1:9" ht="12.75" x14ac:dyDescent="0.2">
      <c r="A880" s="28"/>
      <c r="B880" s="29"/>
      <c r="C880" s="29"/>
      <c r="D880" s="29"/>
      <c r="E880" s="29"/>
      <c r="F880" s="28"/>
      <c r="G880" s="29"/>
      <c r="H880" s="29"/>
      <c r="I880" s="28"/>
    </row>
    <row r="881" spans="1:9" ht="12.75" x14ac:dyDescent="0.2">
      <c r="A881" s="28"/>
      <c r="B881" s="29"/>
      <c r="C881" s="29"/>
      <c r="D881" s="29"/>
      <c r="E881" s="29"/>
      <c r="F881" s="28"/>
      <c r="G881" s="29"/>
      <c r="H881" s="29"/>
      <c r="I881" s="28"/>
    </row>
    <row r="882" spans="1:9" ht="12.75" x14ac:dyDescent="0.2">
      <c r="A882" s="28"/>
      <c r="B882" s="29"/>
      <c r="C882" s="29"/>
      <c r="D882" s="29"/>
      <c r="E882" s="29"/>
      <c r="F882" s="28"/>
      <c r="G882" s="29"/>
      <c r="H882" s="29"/>
      <c r="I882" s="28"/>
    </row>
    <row r="883" spans="1:9" ht="12.75" x14ac:dyDescent="0.2">
      <c r="A883" s="28"/>
      <c r="B883" s="29"/>
      <c r="C883" s="29"/>
      <c r="D883" s="29"/>
      <c r="E883" s="29"/>
      <c r="F883" s="28"/>
      <c r="G883" s="29"/>
      <c r="H883" s="29"/>
      <c r="I883" s="28"/>
    </row>
    <row r="884" spans="1:9" ht="12.75" x14ac:dyDescent="0.2">
      <c r="A884" s="28"/>
      <c r="B884" s="29"/>
      <c r="C884" s="29"/>
      <c r="D884" s="29"/>
      <c r="E884" s="29"/>
      <c r="F884" s="28"/>
      <c r="G884" s="29"/>
      <c r="H884" s="29"/>
      <c r="I884" s="28"/>
    </row>
    <row r="885" spans="1:9" ht="12.75" x14ac:dyDescent="0.2">
      <c r="A885" s="28"/>
      <c r="B885" s="29"/>
      <c r="C885" s="29"/>
      <c r="D885" s="29"/>
      <c r="E885" s="29"/>
      <c r="F885" s="28"/>
      <c r="G885" s="29"/>
      <c r="H885" s="29"/>
      <c r="I885" s="28"/>
    </row>
    <row r="886" spans="1:9" ht="12.75" x14ac:dyDescent="0.2">
      <c r="A886" s="28"/>
      <c r="B886" s="29"/>
      <c r="C886" s="29"/>
      <c r="D886" s="29"/>
      <c r="E886" s="29"/>
      <c r="F886" s="28"/>
      <c r="G886" s="29"/>
      <c r="H886" s="29"/>
      <c r="I886" s="28"/>
    </row>
    <row r="887" spans="1:9" ht="12.75" x14ac:dyDescent="0.2">
      <c r="A887" s="28"/>
      <c r="B887" s="29"/>
      <c r="C887" s="29"/>
      <c r="D887" s="29"/>
      <c r="E887" s="29"/>
      <c r="F887" s="28"/>
      <c r="G887" s="29"/>
      <c r="H887" s="29"/>
      <c r="I887" s="28"/>
    </row>
    <row r="888" spans="1:9" ht="12.75" x14ac:dyDescent="0.2">
      <c r="A888" s="28"/>
      <c r="B888" s="29"/>
      <c r="C888" s="29"/>
      <c r="D888" s="29"/>
      <c r="E888" s="29"/>
      <c r="F888" s="28"/>
      <c r="G888" s="29"/>
      <c r="H888" s="29"/>
      <c r="I888" s="28"/>
    </row>
    <row r="889" spans="1:9" ht="12.75" x14ac:dyDescent="0.2">
      <c r="A889" s="28"/>
      <c r="B889" s="29"/>
      <c r="C889" s="29"/>
      <c r="D889" s="29"/>
      <c r="E889" s="29"/>
      <c r="F889" s="28"/>
      <c r="G889" s="29"/>
      <c r="H889" s="29"/>
      <c r="I889" s="28"/>
    </row>
    <row r="890" spans="1:9" ht="12.75" x14ac:dyDescent="0.2">
      <c r="A890" s="28"/>
      <c r="B890" s="29"/>
      <c r="C890" s="29"/>
      <c r="D890" s="29"/>
      <c r="E890" s="29"/>
      <c r="F890" s="28"/>
      <c r="G890" s="29"/>
      <c r="H890" s="29"/>
      <c r="I890" s="28"/>
    </row>
    <row r="891" spans="1:9" ht="12.75" x14ac:dyDescent="0.2">
      <c r="A891" s="28"/>
      <c r="B891" s="29"/>
      <c r="C891" s="29"/>
      <c r="D891" s="29"/>
      <c r="E891" s="29"/>
      <c r="F891" s="28"/>
      <c r="G891" s="29"/>
      <c r="H891" s="29"/>
      <c r="I891" s="28"/>
    </row>
    <row r="892" spans="1:9" ht="12.75" x14ac:dyDescent="0.2">
      <c r="A892" s="28"/>
      <c r="B892" s="29"/>
      <c r="C892" s="29"/>
      <c r="D892" s="29"/>
      <c r="E892" s="29"/>
      <c r="F892" s="28"/>
      <c r="G892" s="29"/>
      <c r="H892" s="29"/>
      <c r="I892" s="28"/>
    </row>
    <row r="893" spans="1:9" ht="12.75" x14ac:dyDescent="0.2">
      <c r="A893" s="28"/>
      <c r="B893" s="29"/>
      <c r="C893" s="29"/>
      <c r="D893" s="29"/>
      <c r="E893" s="29"/>
      <c r="F893" s="28"/>
      <c r="G893" s="29"/>
      <c r="H893" s="29"/>
      <c r="I893" s="28"/>
    </row>
    <row r="894" spans="1:9" ht="12.75" x14ac:dyDescent="0.2">
      <c r="A894" s="28"/>
      <c r="B894" s="29"/>
      <c r="C894" s="29"/>
      <c r="D894" s="29"/>
      <c r="E894" s="29"/>
      <c r="F894" s="28"/>
      <c r="G894" s="29"/>
      <c r="H894" s="29"/>
      <c r="I894" s="28"/>
    </row>
    <row r="895" spans="1:9" ht="12.75" x14ac:dyDescent="0.2">
      <c r="A895" s="28"/>
      <c r="B895" s="29"/>
      <c r="C895" s="29"/>
      <c r="D895" s="29"/>
      <c r="E895" s="29"/>
      <c r="F895" s="28"/>
      <c r="G895" s="29"/>
      <c r="H895" s="29"/>
      <c r="I895" s="28"/>
    </row>
    <row r="896" spans="1:9" ht="12.75" x14ac:dyDescent="0.2">
      <c r="A896" s="28"/>
      <c r="B896" s="29"/>
      <c r="C896" s="29"/>
      <c r="D896" s="29"/>
      <c r="E896" s="29"/>
      <c r="F896" s="28"/>
      <c r="G896" s="29"/>
      <c r="H896" s="29"/>
      <c r="I896" s="28"/>
    </row>
    <row r="897" spans="1:9" ht="12.75" x14ac:dyDescent="0.2">
      <c r="A897" s="28"/>
      <c r="B897" s="29"/>
      <c r="C897" s="29"/>
      <c r="D897" s="29"/>
      <c r="E897" s="29"/>
      <c r="F897" s="28"/>
      <c r="G897" s="29"/>
      <c r="H897" s="29"/>
      <c r="I897" s="28"/>
    </row>
    <row r="898" spans="1:9" ht="12.75" x14ac:dyDescent="0.2">
      <c r="A898" s="28"/>
      <c r="B898" s="29"/>
      <c r="C898" s="29"/>
      <c r="D898" s="29"/>
      <c r="E898" s="29"/>
      <c r="F898" s="28"/>
      <c r="G898" s="29"/>
      <c r="H898" s="29"/>
      <c r="I898" s="28"/>
    </row>
    <row r="899" spans="1:9" ht="12.75" x14ac:dyDescent="0.2">
      <c r="A899" s="28"/>
      <c r="B899" s="29"/>
      <c r="C899" s="29"/>
      <c r="D899" s="29"/>
      <c r="E899" s="29"/>
      <c r="F899" s="28"/>
      <c r="G899" s="29"/>
      <c r="H899" s="29"/>
      <c r="I899" s="28"/>
    </row>
    <row r="900" spans="1:9" ht="12.75" x14ac:dyDescent="0.2">
      <c r="A900" s="28"/>
      <c r="B900" s="29"/>
      <c r="C900" s="29"/>
      <c r="D900" s="29"/>
      <c r="E900" s="29"/>
      <c r="F900" s="28"/>
      <c r="G900" s="29"/>
      <c r="H900" s="29"/>
      <c r="I900" s="28"/>
    </row>
    <row r="901" spans="1:9" ht="12.75" x14ac:dyDescent="0.2">
      <c r="A901" s="28"/>
      <c r="B901" s="29"/>
      <c r="C901" s="29"/>
      <c r="D901" s="29"/>
      <c r="E901" s="29"/>
      <c r="F901" s="28"/>
      <c r="G901" s="29"/>
      <c r="H901" s="29"/>
      <c r="I901" s="28"/>
    </row>
    <row r="902" spans="1:9" ht="12.75" x14ac:dyDescent="0.2">
      <c r="A902" s="28"/>
      <c r="B902" s="29"/>
      <c r="C902" s="29"/>
      <c r="D902" s="29"/>
      <c r="E902" s="29"/>
      <c r="F902" s="28"/>
      <c r="G902" s="29"/>
      <c r="H902" s="29"/>
      <c r="I902" s="28"/>
    </row>
    <row r="903" spans="1:9" ht="12.75" x14ac:dyDescent="0.2">
      <c r="A903" s="28"/>
      <c r="B903" s="29"/>
      <c r="C903" s="29"/>
      <c r="D903" s="29"/>
      <c r="E903" s="29"/>
      <c r="F903" s="28"/>
      <c r="G903" s="29"/>
      <c r="H903" s="29"/>
      <c r="I903" s="28"/>
    </row>
    <row r="904" spans="1:9" ht="12.75" x14ac:dyDescent="0.2">
      <c r="A904" s="28"/>
      <c r="B904" s="29"/>
      <c r="C904" s="29"/>
      <c r="D904" s="29"/>
      <c r="E904" s="29"/>
      <c r="F904" s="28"/>
      <c r="G904" s="29"/>
      <c r="H904" s="29"/>
      <c r="I904" s="28"/>
    </row>
    <row r="905" spans="1:9" ht="12.75" x14ac:dyDescent="0.2">
      <c r="A905" s="28"/>
      <c r="B905" s="29"/>
      <c r="C905" s="29"/>
      <c r="D905" s="29"/>
      <c r="E905" s="29"/>
      <c r="F905" s="28"/>
      <c r="G905" s="29"/>
      <c r="H905" s="29"/>
      <c r="I905" s="28"/>
    </row>
    <row r="906" spans="1:9" ht="12.75" x14ac:dyDescent="0.2">
      <c r="A906" s="28"/>
      <c r="B906" s="29"/>
      <c r="C906" s="29"/>
      <c r="D906" s="29"/>
      <c r="E906" s="29"/>
      <c r="F906" s="28"/>
      <c r="G906" s="29"/>
      <c r="H906" s="29"/>
      <c r="I906" s="28"/>
    </row>
    <row r="907" spans="1:9" ht="12.75" x14ac:dyDescent="0.2">
      <c r="A907" s="28"/>
      <c r="B907" s="29"/>
      <c r="C907" s="29"/>
      <c r="D907" s="29"/>
      <c r="E907" s="29"/>
      <c r="F907" s="28"/>
      <c r="G907" s="29"/>
      <c r="H907" s="29"/>
      <c r="I907" s="28"/>
    </row>
    <row r="908" spans="1:9" ht="12.75" x14ac:dyDescent="0.2">
      <c r="A908" s="28"/>
      <c r="B908" s="29"/>
      <c r="C908" s="29"/>
      <c r="D908" s="29"/>
      <c r="E908" s="29"/>
      <c r="F908" s="28"/>
      <c r="G908" s="29"/>
      <c r="H908" s="29"/>
      <c r="I908" s="28"/>
    </row>
    <row r="909" spans="1:9" ht="12.75" x14ac:dyDescent="0.2">
      <c r="A909" s="28"/>
      <c r="B909" s="29"/>
      <c r="C909" s="29"/>
      <c r="D909" s="29"/>
      <c r="E909" s="29"/>
      <c r="F909" s="28"/>
      <c r="G909" s="29"/>
      <c r="H909" s="29"/>
      <c r="I909" s="28"/>
    </row>
    <row r="910" spans="1:9" ht="12.75" x14ac:dyDescent="0.2">
      <c r="A910" s="28"/>
      <c r="B910" s="29"/>
      <c r="C910" s="29"/>
      <c r="D910" s="29"/>
      <c r="E910" s="29"/>
      <c r="F910" s="28"/>
      <c r="G910" s="29"/>
      <c r="H910" s="29"/>
      <c r="I910" s="28"/>
    </row>
    <row r="911" spans="1:9" ht="12.75" x14ac:dyDescent="0.2">
      <c r="A911" s="28"/>
      <c r="B911" s="29"/>
      <c r="C911" s="29"/>
      <c r="D911" s="29"/>
      <c r="E911" s="29"/>
      <c r="F911" s="28"/>
      <c r="G911" s="29"/>
      <c r="H911" s="29"/>
      <c r="I911" s="28"/>
    </row>
    <row r="912" spans="1:9" ht="12.75" x14ac:dyDescent="0.2">
      <c r="A912" s="28"/>
      <c r="B912" s="29"/>
      <c r="C912" s="29"/>
      <c r="D912" s="29"/>
      <c r="E912" s="29"/>
      <c r="F912" s="28"/>
      <c r="G912" s="29"/>
      <c r="H912" s="29"/>
      <c r="I912" s="28"/>
    </row>
    <row r="913" spans="1:9" ht="12.75" x14ac:dyDescent="0.2">
      <c r="A913" s="28"/>
      <c r="B913" s="29"/>
      <c r="C913" s="29"/>
      <c r="D913" s="29"/>
      <c r="E913" s="29"/>
      <c r="F913" s="28"/>
      <c r="G913" s="29"/>
      <c r="H913" s="29"/>
      <c r="I913" s="28"/>
    </row>
    <row r="914" spans="1:9" ht="12.75" x14ac:dyDescent="0.2">
      <c r="A914" s="28"/>
      <c r="B914" s="29"/>
      <c r="C914" s="29"/>
      <c r="D914" s="29"/>
      <c r="E914" s="29"/>
      <c r="F914" s="28"/>
      <c r="G914" s="29"/>
      <c r="H914" s="29"/>
      <c r="I914" s="28"/>
    </row>
    <row r="915" spans="1:9" ht="12.75" x14ac:dyDescent="0.2">
      <c r="A915" s="28"/>
      <c r="B915" s="29"/>
      <c r="C915" s="29"/>
      <c r="D915" s="29"/>
      <c r="E915" s="29"/>
      <c r="F915" s="28"/>
      <c r="G915" s="29"/>
      <c r="H915" s="29"/>
      <c r="I915" s="28"/>
    </row>
    <row r="916" spans="1:9" ht="12.75" x14ac:dyDescent="0.2">
      <c r="A916" s="28"/>
      <c r="B916" s="29"/>
      <c r="C916" s="29"/>
      <c r="D916" s="29"/>
      <c r="E916" s="29"/>
      <c r="F916" s="28"/>
      <c r="G916" s="29"/>
      <c r="H916" s="29"/>
      <c r="I916" s="28"/>
    </row>
    <row r="917" spans="1:9" ht="12.75" x14ac:dyDescent="0.2">
      <c r="A917" s="28"/>
      <c r="B917" s="29"/>
      <c r="C917" s="29"/>
      <c r="D917" s="29"/>
      <c r="E917" s="29"/>
      <c r="F917" s="28"/>
      <c r="G917" s="29"/>
      <c r="H917" s="29"/>
      <c r="I917" s="28"/>
    </row>
    <row r="918" spans="1:9" ht="12.75" x14ac:dyDescent="0.2">
      <c r="A918" s="28"/>
      <c r="B918" s="29"/>
      <c r="C918" s="29"/>
      <c r="D918" s="29"/>
      <c r="E918" s="29"/>
      <c r="F918" s="28"/>
      <c r="G918" s="29"/>
      <c r="H918" s="29"/>
      <c r="I918" s="28"/>
    </row>
    <row r="919" spans="1:9" ht="12.75" x14ac:dyDescent="0.2">
      <c r="A919" s="28"/>
      <c r="B919" s="29"/>
      <c r="C919" s="29"/>
      <c r="D919" s="29"/>
      <c r="E919" s="29"/>
      <c r="F919" s="28"/>
      <c r="G919" s="29"/>
      <c r="H919" s="29"/>
      <c r="I919" s="28"/>
    </row>
    <row r="920" spans="1:9" ht="12.75" x14ac:dyDescent="0.2">
      <c r="A920" s="28"/>
      <c r="B920" s="29"/>
      <c r="C920" s="29"/>
      <c r="D920" s="29"/>
      <c r="E920" s="29"/>
      <c r="F920" s="28"/>
      <c r="G920" s="29"/>
      <c r="H920" s="29"/>
      <c r="I920" s="28"/>
    </row>
    <row r="921" spans="1:9" ht="12.75" x14ac:dyDescent="0.2">
      <c r="A921" s="28"/>
      <c r="B921" s="29"/>
      <c r="C921" s="29"/>
      <c r="D921" s="29"/>
      <c r="E921" s="29"/>
      <c r="F921" s="28"/>
      <c r="G921" s="29"/>
      <c r="H921" s="29"/>
      <c r="I921" s="28"/>
    </row>
    <row r="922" spans="1:9" ht="12.75" x14ac:dyDescent="0.2">
      <c r="A922" s="28"/>
      <c r="B922" s="29"/>
      <c r="C922" s="29"/>
      <c r="D922" s="29"/>
      <c r="E922" s="29"/>
      <c r="F922" s="28"/>
      <c r="G922" s="29"/>
      <c r="H922" s="29"/>
      <c r="I922" s="28"/>
    </row>
    <row r="923" spans="1:9" ht="12.75" x14ac:dyDescent="0.2">
      <c r="A923" s="28"/>
      <c r="B923" s="29"/>
      <c r="C923" s="29"/>
      <c r="D923" s="29"/>
      <c r="E923" s="29"/>
      <c r="F923" s="28"/>
      <c r="G923" s="29"/>
      <c r="H923" s="29"/>
      <c r="I923" s="28"/>
    </row>
    <row r="924" spans="1:9" ht="12.75" x14ac:dyDescent="0.2">
      <c r="A924" s="28"/>
      <c r="B924" s="29"/>
      <c r="C924" s="29"/>
      <c r="D924" s="29"/>
      <c r="E924" s="29"/>
      <c r="F924" s="28"/>
      <c r="G924" s="29"/>
      <c r="H924" s="29"/>
      <c r="I924" s="28"/>
    </row>
    <row r="925" spans="1:9" ht="12.75" x14ac:dyDescent="0.2">
      <c r="A925" s="28"/>
      <c r="B925" s="29"/>
      <c r="C925" s="29"/>
      <c r="D925" s="29"/>
      <c r="E925" s="29"/>
      <c r="F925" s="28"/>
      <c r="G925" s="29"/>
      <c r="H925" s="29"/>
      <c r="I925" s="28"/>
    </row>
    <row r="926" spans="1:9" ht="12.75" x14ac:dyDescent="0.2">
      <c r="A926" s="28"/>
      <c r="B926" s="29"/>
      <c r="C926" s="29"/>
      <c r="D926" s="29"/>
      <c r="E926" s="29"/>
      <c r="F926" s="28"/>
      <c r="G926" s="29"/>
      <c r="H926" s="29"/>
      <c r="I926" s="28"/>
    </row>
    <row r="927" spans="1:9" ht="12.75" x14ac:dyDescent="0.2">
      <c r="A927" s="28"/>
      <c r="B927" s="29"/>
      <c r="C927" s="29"/>
      <c r="D927" s="29"/>
      <c r="E927" s="29"/>
      <c r="F927" s="28"/>
      <c r="G927" s="29"/>
      <c r="H927" s="29"/>
      <c r="I927" s="28"/>
    </row>
    <row r="928" spans="1:9" ht="12.75" x14ac:dyDescent="0.2">
      <c r="A928" s="28"/>
      <c r="B928" s="29"/>
      <c r="C928" s="29"/>
      <c r="D928" s="29"/>
      <c r="E928" s="29"/>
      <c r="F928" s="28"/>
      <c r="G928" s="29"/>
      <c r="H928" s="29"/>
      <c r="I928" s="28"/>
    </row>
    <row r="929" spans="1:9" ht="12.75" x14ac:dyDescent="0.2">
      <c r="A929" s="28"/>
      <c r="B929" s="29"/>
      <c r="C929" s="29"/>
      <c r="D929" s="29"/>
      <c r="E929" s="29"/>
      <c r="F929" s="28"/>
      <c r="G929" s="29"/>
      <c r="H929" s="29"/>
      <c r="I929" s="28"/>
    </row>
    <row r="930" spans="1:9" ht="12.75" x14ac:dyDescent="0.2">
      <c r="A930" s="28"/>
      <c r="B930" s="29"/>
      <c r="C930" s="29"/>
      <c r="D930" s="29"/>
      <c r="E930" s="29"/>
      <c r="F930" s="28"/>
      <c r="G930" s="29"/>
      <c r="H930" s="29"/>
      <c r="I930" s="28"/>
    </row>
    <row r="931" spans="1:9" ht="12.75" x14ac:dyDescent="0.2">
      <c r="A931" s="28"/>
      <c r="B931" s="29"/>
      <c r="C931" s="29"/>
      <c r="D931" s="29"/>
      <c r="E931" s="29"/>
      <c r="F931" s="28"/>
      <c r="G931" s="29"/>
      <c r="H931" s="29"/>
      <c r="I931" s="28"/>
    </row>
    <row r="932" spans="1:9" ht="12.75" x14ac:dyDescent="0.2">
      <c r="A932" s="28"/>
      <c r="B932" s="29"/>
      <c r="C932" s="29"/>
      <c r="D932" s="29"/>
      <c r="E932" s="29"/>
      <c r="F932" s="28"/>
      <c r="G932" s="29"/>
      <c r="H932" s="29"/>
      <c r="I932" s="28"/>
    </row>
    <row r="933" spans="1:9" ht="12.75" x14ac:dyDescent="0.2">
      <c r="A933" s="28"/>
      <c r="B933" s="29"/>
      <c r="C933" s="29"/>
      <c r="D933" s="29"/>
      <c r="E933" s="29"/>
      <c r="F933" s="28"/>
      <c r="G933" s="29"/>
      <c r="H933" s="29"/>
      <c r="I933" s="28"/>
    </row>
    <row r="934" spans="1:9" ht="12.75" x14ac:dyDescent="0.2">
      <c r="A934" s="28"/>
      <c r="B934" s="29"/>
      <c r="C934" s="29"/>
      <c r="D934" s="29"/>
      <c r="E934" s="29"/>
      <c r="F934" s="28"/>
      <c r="G934" s="29"/>
      <c r="H934" s="29"/>
      <c r="I934" s="28"/>
    </row>
    <row r="935" spans="1:9" ht="12.75" x14ac:dyDescent="0.2">
      <c r="A935" s="28"/>
      <c r="B935" s="29"/>
      <c r="C935" s="29"/>
      <c r="D935" s="29"/>
      <c r="E935" s="29"/>
      <c r="F935" s="28"/>
      <c r="G935" s="29"/>
      <c r="H935" s="29"/>
      <c r="I935" s="28"/>
    </row>
    <row r="936" spans="1:9" ht="12.75" x14ac:dyDescent="0.2">
      <c r="A936" s="28"/>
      <c r="B936" s="29"/>
      <c r="C936" s="29"/>
      <c r="D936" s="29"/>
      <c r="E936" s="29"/>
      <c r="F936" s="28"/>
      <c r="G936" s="29"/>
      <c r="H936" s="29"/>
      <c r="I936" s="28"/>
    </row>
    <row r="937" spans="1:9" ht="12.75" x14ac:dyDescent="0.2">
      <c r="A937" s="28"/>
      <c r="B937" s="29"/>
      <c r="C937" s="29"/>
      <c r="D937" s="29"/>
      <c r="E937" s="29"/>
      <c r="F937" s="28"/>
      <c r="G937" s="29"/>
      <c r="H937" s="29"/>
      <c r="I937" s="28"/>
    </row>
    <row r="938" spans="1:9" ht="12.75" x14ac:dyDescent="0.2">
      <c r="A938" s="28"/>
      <c r="B938" s="29"/>
      <c r="C938" s="29"/>
      <c r="D938" s="29"/>
      <c r="E938" s="29"/>
      <c r="F938" s="28"/>
      <c r="G938" s="29"/>
      <c r="H938" s="29"/>
      <c r="I938" s="28"/>
    </row>
    <row r="939" spans="1:9" ht="12.75" x14ac:dyDescent="0.2">
      <c r="A939" s="28"/>
      <c r="B939" s="29"/>
      <c r="C939" s="29"/>
      <c r="D939" s="29"/>
      <c r="E939" s="29"/>
      <c r="F939" s="28"/>
      <c r="G939" s="29"/>
      <c r="H939" s="29"/>
      <c r="I939" s="28"/>
    </row>
    <row r="940" spans="1:9" ht="12.75" x14ac:dyDescent="0.2">
      <c r="A940" s="28"/>
      <c r="B940" s="29"/>
      <c r="C940" s="29"/>
      <c r="D940" s="29"/>
      <c r="E940" s="29"/>
      <c r="F940" s="28"/>
      <c r="G940" s="29"/>
      <c r="H940" s="29"/>
      <c r="I940" s="28"/>
    </row>
    <row r="941" spans="1:9" ht="12.75" x14ac:dyDescent="0.2">
      <c r="A941" s="28"/>
      <c r="B941" s="29"/>
      <c r="C941" s="29"/>
      <c r="D941" s="29"/>
      <c r="E941" s="29"/>
      <c r="F941" s="28"/>
      <c r="G941" s="29"/>
      <c r="H941" s="29"/>
      <c r="I941" s="28"/>
    </row>
    <row r="942" spans="1:9" ht="12.75" x14ac:dyDescent="0.2">
      <c r="A942" s="28"/>
      <c r="B942" s="29"/>
      <c r="C942" s="29"/>
      <c r="D942" s="29"/>
      <c r="E942" s="29"/>
      <c r="F942" s="28"/>
      <c r="G942" s="29"/>
      <c r="H942" s="29"/>
      <c r="I942" s="28"/>
    </row>
    <row r="943" spans="1:9" ht="12.75" x14ac:dyDescent="0.2">
      <c r="A943" s="28"/>
      <c r="B943" s="29"/>
      <c r="C943" s="29"/>
      <c r="D943" s="29"/>
      <c r="E943" s="29"/>
      <c r="F943" s="28"/>
      <c r="G943" s="29"/>
      <c r="H943" s="29"/>
      <c r="I943" s="28"/>
    </row>
    <row r="944" spans="1:9" ht="12.75" x14ac:dyDescent="0.2">
      <c r="A944" s="28"/>
      <c r="B944" s="29"/>
      <c r="C944" s="29"/>
      <c r="D944" s="29"/>
      <c r="E944" s="29"/>
      <c r="F944" s="28"/>
      <c r="G944" s="29"/>
      <c r="H944" s="29"/>
      <c r="I944" s="28"/>
    </row>
    <row r="945" spans="1:9" ht="12.75" x14ac:dyDescent="0.2">
      <c r="A945" s="28"/>
      <c r="B945" s="29"/>
      <c r="C945" s="29"/>
      <c r="D945" s="29"/>
      <c r="E945" s="29"/>
      <c r="F945" s="28"/>
      <c r="G945" s="29"/>
      <c r="H945" s="29"/>
      <c r="I945" s="28"/>
    </row>
    <row r="946" spans="1:9" ht="12.75" x14ac:dyDescent="0.2">
      <c r="A946" s="28"/>
      <c r="B946" s="29"/>
      <c r="C946" s="29"/>
      <c r="D946" s="29"/>
      <c r="E946" s="29"/>
      <c r="F946" s="28"/>
      <c r="G946" s="29"/>
      <c r="H946" s="29"/>
      <c r="I946" s="28"/>
    </row>
    <row r="947" spans="1:9" ht="12.75" x14ac:dyDescent="0.2">
      <c r="A947" s="28"/>
      <c r="B947" s="29"/>
      <c r="C947" s="29"/>
      <c r="D947" s="29"/>
      <c r="E947" s="29"/>
      <c r="F947" s="28"/>
      <c r="G947" s="29"/>
      <c r="H947" s="29"/>
      <c r="I947" s="28"/>
    </row>
    <row r="948" spans="1:9" ht="12.75" x14ac:dyDescent="0.2">
      <c r="A948" s="28"/>
      <c r="B948" s="29"/>
      <c r="C948" s="29"/>
      <c r="D948" s="29"/>
      <c r="E948" s="29"/>
      <c r="F948" s="28"/>
      <c r="G948" s="29"/>
      <c r="H948" s="29"/>
      <c r="I948" s="28"/>
    </row>
    <row r="949" spans="1:9" ht="12.75" x14ac:dyDescent="0.2">
      <c r="A949" s="28"/>
      <c r="B949" s="29"/>
      <c r="C949" s="29"/>
      <c r="D949" s="29"/>
      <c r="E949" s="29"/>
      <c r="F949" s="28"/>
      <c r="G949" s="29"/>
      <c r="H949" s="29"/>
      <c r="I949" s="28"/>
    </row>
    <row r="950" spans="1:9" ht="12.75" x14ac:dyDescent="0.2">
      <c r="A950" s="28"/>
      <c r="B950" s="29"/>
      <c r="C950" s="29"/>
      <c r="D950" s="29"/>
      <c r="E950" s="29"/>
      <c r="F950" s="28"/>
      <c r="G950" s="29"/>
      <c r="H950" s="29"/>
      <c r="I950" s="28"/>
    </row>
    <row r="951" spans="1:9" ht="12.75" x14ac:dyDescent="0.2">
      <c r="A951" s="28"/>
      <c r="B951" s="29"/>
      <c r="C951" s="29"/>
      <c r="D951" s="29"/>
      <c r="E951" s="29"/>
      <c r="F951" s="28"/>
      <c r="G951" s="29"/>
      <c r="H951" s="29"/>
      <c r="I951" s="28"/>
    </row>
    <row r="952" spans="1:9" ht="12.75" x14ac:dyDescent="0.2">
      <c r="A952" s="28"/>
      <c r="B952" s="29"/>
      <c r="C952" s="29"/>
      <c r="D952" s="29"/>
      <c r="E952" s="29"/>
      <c r="F952" s="28"/>
      <c r="G952" s="29"/>
      <c r="H952" s="29"/>
      <c r="I952" s="28"/>
    </row>
    <row r="953" spans="1:9" ht="12.75" x14ac:dyDescent="0.2">
      <c r="A953" s="28"/>
      <c r="B953" s="29"/>
      <c r="C953" s="29"/>
      <c r="D953" s="29"/>
      <c r="E953" s="29"/>
      <c r="F953" s="28"/>
      <c r="G953" s="29"/>
      <c r="H953" s="29"/>
      <c r="I953" s="28"/>
    </row>
    <row r="954" spans="1:9" ht="12.75" x14ac:dyDescent="0.2">
      <c r="A954" s="28"/>
      <c r="B954" s="29"/>
      <c r="C954" s="29"/>
      <c r="D954" s="29"/>
      <c r="E954" s="29"/>
      <c r="F954" s="28"/>
      <c r="G954" s="29"/>
      <c r="H954" s="29"/>
      <c r="I954" s="28"/>
    </row>
    <row r="955" spans="1:9" ht="12.75" x14ac:dyDescent="0.2">
      <c r="A955" s="28"/>
      <c r="B955" s="29"/>
      <c r="C955" s="29"/>
      <c r="D955" s="29"/>
      <c r="E955" s="29"/>
      <c r="F955" s="28"/>
      <c r="G955" s="29"/>
      <c r="H955" s="29"/>
      <c r="I955" s="28"/>
    </row>
    <row r="956" spans="1:9" ht="12.75" x14ac:dyDescent="0.2">
      <c r="A956" s="28"/>
      <c r="B956" s="29"/>
      <c r="C956" s="29"/>
      <c r="D956" s="29"/>
      <c r="E956" s="29"/>
      <c r="F956" s="28"/>
      <c r="G956" s="29"/>
      <c r="H956" s="29"/>
      <c r="I956" s="28"/>
    </row>
    <row r="957" spans="1:9" ht="12.75" x14ac:dyDescent="0.2">
      <c r="A957" s="28"/>
      <c r="B957" s="29"/>
      <c r="C957" s="29"/>
      <c r="D957" s="29"/>
      <c r="E957" s="29"/>
      <c r="F957" s="28"/>
      <c r="G957" s="29"/>
      <c r="H957" s="29"/>
      <c r="I957" s="28"/>
    </row>
    <row r="958" spans="1:9" ht="12.75" x14ac:dyDescent="0.2">
      <c r="A958" s="28"/>
      <c r="B958" s="29"/>
      <c r="C958" s="29"/>
      <c r="D958" s="29"/>
      <c r="E958" s="29"/>
      <c r="F958" s="28"/>
      <c r="G958" s="29"/>
      <c r="H958" s="29"/>
      <c r="I958" s="28"/>
    </row>
    <row r="959" spans="1:9" ht="12.75" x14ac:dyDescent="0.2">
      <c r="A959" s="28"/>
      <c r="B959" s="29"/>
      <c r="C959" s="29"/>
      <c r="D959" s="29"/>
      <c r="E959" s="29"/>
      <c r="F959" s="28"/>
      <c r="G959" s="29"/>
      <c r="H959" s="29"/>
      <c r="I959" s="28"/>
    </row>
    <row r="960" spans="1:9" ht="12.75" x14ac:dyDescent="0.2">
      <c r="A960" s="28"/>
      <c r="B960" s="29"/>
      <c r="C960" s="29"/>
      <c r="D960" s="29"/>
      <c r="E960" s="29"/>
      <c r="F960" s="28"/>
      <c r="G960" s="29"/>
      <c r="H960" s="29"/>
      <c r="I960" s="28"/>
    </row>
    <row r="961" spans="1:9" ht="12.75" x14ac:dyDescent="0.2">
      <c r="A961" s="28"/>
      <c r="B961" s="29"/>
      <c r="C961" s="29"/>
      <c r="D961" s="29"/>
      <c r="E961" s="29"/>
      <c r="F961" s="28"/>
      <c r="G961" s="29"/>
      <c r="H961" s="29"/>
      <c r="I961" s="28"/>
    </row>
    <row r="962" spans="1:9" ht="12.75" x14ac:dyDescent="0.2">
      <c r="A962" s="28"/>
      <c r="B962" s="29"/>
      <c r="C962" s="29"/>
      <c r="D962" s="29"/>
      <c r="E962" s="29"/>
      <c r="F962" s="28"/>
      <c r="G962" s="29"/>
      <c r="H962" s="29"/>
      <c r="I962" s="28"/>
    </row>
    <row r="963" spans="1:9" ht="12.75" x14ac:dyDescent="0.2">
      <c r="A963" s="28"/>
      <c r="B963" s="29"/>
      <c r="C963" s="29"/>
      <c r="D963" s="29"/>
      <c r="E963" s="29"/>
      <c r="F963" s="28"/>
      <c r="G963" s="29"/>
      <c r="H963" s="29"/>
      <c r="I963" s="28"/>
    </row>
    <row r="964" spans="1:9" ht="12.75" x14ac:dyDescent="0.2">
      <c r="A964" s="28"/>
      <c r="B964" s="29"/>
      <c r="C964" s="29"/>
      <c r="D964" s="29"/>
      <c r="E964" s="29"/>
      <c r="F964" s="28"/>
      <c r="G964" s="29"/>
      <c r="H964" s="29"/>
      <c r="I964" s="28"/>
    </row>
    <row r="965" spans="1:9" ht="12.75" x14ac:dyDescent="0.2">
      <c r="A965" s="28"/>
      <c r="B965" s="29"/>
      <c r="C965" s="29"/>
      <c r="D965" s="29"/>
      <c r="E965" s="29"/>
      <c r="F965" s="28"/>
      <c r="G965" s="29"/>
      <c r="H965" s="29"/>
      <c r="I965" s="28"/>
    </row>
    <row r="966" spans="1:9" ht="12.75" x14ac:dyDescent="0.2">
      <c r="A966" s="28"/>
      <c r="B966" s="29"/>
      <c r="C966" s="29"/>
      <c r="D966" s="29"/>
      <c r="E966" s="29"/>
      <c r="F966" s="28"/>
      <c r="G966" s="29"/>
      <c r="H966" s="29"/>
      <c r="I966" s="28"/>
    </row>
    <row r="967" spans="1:9" ht="12.75" x14ac:dyDescent="0.2">
      <c r="A967" s="28"/>
      <c r="B967" s="29"/>
      <c r="C967" s="29"/>
      <c r="D967" s="29"/>
      <c r="E967" s="29"/>
      <c r="F967" s="28"/>
      <c r="G967" s="29"/>
      <c r="H967" s="29"/>
      <c r="I967" s="28"/>
    </row>
    <row r="968" spans="1:9" ht="12.75" x14ac:dyDescent="0.2">
      <c r="A968" s="28"/>
      <c r="B968" s="29"/>
      <c r="C968" s="29"/>
      <c r="D968" s="29"/>
      <c r="E968" s="29"/>
      <c r="F968" s="28"/>
      <c r="G968" s="29"/>
      <c r="H968" s="29"/>
      <c r="I968" s="28"/>
    </row>
    <row r="969" spans="1:9" ht="12.75" x14ac:dyDescent="0.2">
      <c r="A969" s="28"/>
      <c r="B969" s="29"/>
      <c r="C969" s="29"/>
      <c r="D969" s="29"/>
      <c r="E969" s="29"/>
      <c r="F969" s="28"/>
      <c r="G969" s="29"/>
      <c r="H969" s="29"/>
      <c r="I969" s="28"/>
    </row>
    <row r="970" spans="1:9" ht="12.75" x14ac:dyDescent="0.2">
      <c r="A970" s="28"/>
      <c r="B970" s="29"/>
      <c r="C970" s="29"/>
      <c r="D970" s="29"/>
      <c r="E970" s="29"/>
      <c r="F970" s="28"/>
      <c r="G970" s="29"/>
      <c r="H970" s="29"/>
      <c r="I970" s="28"/>
    </row>
    <row r="971" spans="1:9" ht="12.75" x14ac:dyDescent="0.2">
      <c r="A971" s="28"/>
      <c r="B971" s="29"/>
      <c r="C971" s="29"/>
      <c r="D971" s="29"/>
      <c r="E971" s="29"/>
      <c r="F971" s="28"/>
      <c r="G971" s="29"/>
      <c r="H971" s="29"/>
      <c r="I971" s="28"/>
    </row>
    <row r="972" spans="1:9" ht="12.75" x14ac:dyDescent="0.2">
      <c r="A972" s="28"/>
      <c r="B972" s="29"/>
      <c r="C972" s="29"/>
      <c r="D972" s="29"/>
      <c r="E972" s="29"/>
      <c r="F972" s="28"/>
      <c r="G972" s="29"/>
      <c r="H972" s="29"/>
      <c r="I972" s="28"/>
    </row>
    <row r="973" spans="1:9" ht="12.75" x14ac:dyDescent="0.2">
      <c r="A973" s="28"/>
      <c r="B973" s="29"/>
      <c r="C973" s="29"/>
      <c r="D973" s="29"/>
      <c r="E973" s="29"/>
      <c r="F973" s="28"/>
      <c r="G973" s="29"/>
      <c r="H973" s="29"/>
      <c r="I973" s="28"/>
    </row>
    <row r="974" spans="1:9" ht="12.75" x14ac:dyDescent="0.2">
      <c r="A974" s="28"/>
      <c r="B974" s="29"/>
      <c r="C974" s="29"/>
      <c r="D974" s="29"/>
      <c r="E974" s="29"/>
      <c r="F974" s="28"/>
      <c r="G974" s="29"/>
      <c r="H974" s="29"/>
      <c r="I974" s="28"/>
    </row>
    <row r="975" spans="1:9" ht="12.75" x14ac:dyDescent="0.2">
      <c r="A975" s="28"/>
      <c r="B975" s="29"/>
      <c r="C975" s="29"/>
      <c r="D975" s="29"/>
      <c r="E975" s="29"/>
      <c r="F975" s="28"/>
      <c r="G975" s="29"/>
      <c r="H975" s="29"/>
      <c r="I975" s="28"/>
    </row>
    <row r="976" spans="1:9" ht="12.75" x14ac:dyDescent="0.2">
      <c r="A976" s="28"/>
      <c r="B976" s="29"/>
      <c r="C976" s="29"/>
      <c r="D976" s="29"/>
      <c r="E976" s="29"/>
      <c r="F976" s="28"/>
      <c r="G976" s="29"/>
      <c r="H976" s="29"/>
      <c r="I976" s="28"/>
    </row>
    <row r="977" spans="1:9" ht="12.75" x14ac:dyDescent="0.2">
      <c r="A977" s="28"/>
      <c r="B977" s="29"/>
      <c r="C977" s="29"/>
      <c r="D977" s="29"/>
      <c r="E977" s="29"/>
      <c r="F977" s="28"/>
      <c r="G977" s="29"/>
      <c r="H977" s="29"/>
      <c r="I977" s="28"/>
    </row>
    <row r="978" spans="1:9" ht="12.75" x14ac:dyDescent="0.2">
      <c r="A978" s="28"/>
      <c r="B978" s="29"/>
      <c r="C978" s="29"/>
      <c r="D978" s="29"/>
      <c r="E978" s="29"/>
      <c r="F978" s="28"/>
      <c r="G978" s="29"/>
      <c r="H978" s="29"/>
      <c r="I978" s="28"/>
    </row>
    <row r="979" spans="1:9" ht="12.75" x14ac:dyDescent="0.2">
      <c r="A979" s="28"/>
      <c r="B979" s="29"/>
      <c r="C979" s="29"/>
      <c r="D979" s="29"/>
      <c r="E979" s="29"/>
      <c r="F979" s="28"/>
      <c r="G979" s="29"/>
      <c r="H979" s="29"/>
      <c r="I979" s="28"/>
    </row>
    <row r="980" spans="1:9" ht="12.75" x14ac:dyDescent="0.2">
      <c r="A980" s="28"/>
      <c r="B980" s="29"/>
      <c r="C980" s="29"/>
      <c r="D980" s="29"/>
      <c r="E980" s="29"/>
      <c r="F980" s="28"/>
      <c r="G980" s="29"/>
      <c r="H980" s="29"/>
      <c r="I980" s="28"/>
    </row>
    <row r="981" spans="1:9" ht="12.75" x14ac:dyDescent="0.2">
      <c r="A981" s="28"/>
      <c r="B981" s="29"/>
      <c r="C981" s="29"/>
      <c r="D981" s="29"/>
      <c r="E981" s="29"/>
      <c r="F981" s="28"/>
      <c r="G981" s="29"/>
      <c r="H981" s="29"/>
      <c r="I981" s="28"/>
    </row>
    <row r="982" spans="1:9" ht="12.75" x14ac:dyDescent="0.2">
      <c r="A982" s="28"/>
      <c r="B982" s="29"/>
      <c r="C982" s="29"/>
      <c r="D982" s="29"/>
      <c r="E982" s="29"/>
      <c r="F982" s="28"/>
      <c r="G982" s="29"/>
      <c r="H982" s="29"/>
      <c r="I982" s="28"/>
    </row>
    <row r="983" spans="1:9" ht="12.75" x14ac:dyDescent="0.2">
      <c r="A983" s="28"/>
      <c r="B983" s="29"/>
      <c r="C983" s="29"/>
      <c r="D983" s="29"/>
      <c r="E983" s="29"/>
      <c r="F983" s="28"/>
      <c r="G983" s="29"/>
      <c r="H983" s="29"/>
      <c r="I983" s="28"/>
    </row>
    <row r="984" spans="1:9" ht="12.75" x14ac:dyDescent="0.2">
      <c r="A984" s="28"/>
      <c r="B984" s="29"/>
      <c r="C984" s="29"/>
      <c r="D984" s="29"/>
      <c r="E984" s="29"/>
      <c r="F984" s="28"/>
      <c r="G984" s="29"/>
      <c r="H984" s="29"/>
      <c r="I984" s="28"/>
    </row>
    <row r="985" spans="1:9" ht="12.75" x14ac:dyDescent="0.2">
      <c r="A985" s="28"/>
      <c r="B985" s="29"/>
      <c r="C985" s="29"/>
      <c r="D985" s="29"/>
      <c r="E985" s="29"/>
      <c r="F985" s="28"/>
      <c r="G985" s="29"/>
      <c r="H985" s="29"/>
      <c r="I985" s="28"/>
    </row>
    <row r="986" spans="1:9" ht="12.75" x14ac:dyDescent="0.2">
      <c r="A986" s="28"/>
      <c r="B986" s="29"/>
      <c r="C986" s="29"/>
      <c r="D986" s="29"/>
      <c r="E986" s="29"/>
      <c r="F986" s="28"/>
      <c r="G986" s="29"/>
      <c r="H986" s="29"/>
      <c r="I986" s="28"/>
    </row>
    <row r="987" spans="1:9" ht="12.75" x14ac:dyDescent="0.2">
      <c r="A987" s="28"/>
      <c r="B987" s="29"/>
      <c r="C987" s="29"/>
      <c r="D987" s="29"/>
      <c r="E987" s="29"/>
      <c r="F987" s="28"/>
      <c r="G987" s="29"/>
      <c r="H987" s="29"/>
      <c r="I987" s="28"/>
    </row>
    <row r="988" spans="1:9" ht="12.75" x14ac:dyDescent="0.2">
      <c r="A988" s="28"/>
      <c r="B988" s="29"/>
      <c r="C988" s="29"/>
      <c r="D988" s="29"/>
      <c r="E988" s="29"/>
      <c r="F988" s="28"/>
      <c r="G988" s="29"/>
      <c r="H988" s="29"/>
      <c r="I988" s="28"/>
    </row>
    <row r="989" spans="1:9" ht="12.75" x14ac:dyDescent="0.2">
      <c r="A989" s="28"/>
      <c r="B989" s="29"/>
      <c r="C989" s="29"/>
      <c r="D989" s="29"/>
      <c r="E989" s="29"/>
      <c r="F989" s="28"/>
      <c r="G989" s="29"/>
      <c r="H989" s="29"/>
      <c r="I989" s="28"/>
    </row>
    <row r="990" spans="1:9" ht="12.75" x14ac:dyDescent="0.2">
      <c r="A990" s="28"/>
      <c r="B990" s="29"/>
      <c r="C990" s="29"/>
      <c r="D990" s="29"/>
      <c r="E990" s="29"/>
      <c r="F990" s="28"/>
      <c r="G990" s="29"/>
      <c r="H990" s="29"/>
      <c r="I990" s="28"/>
    </row>
    <row r="991" spans="1:9" ht="12.75" x14ac:dyDescent="0.2">
      <c r="A991" s="28"/>
      <c r="B991" s="29"/>
      <c r="C991" s="29"/>
      <c r="D991" s="29"/>
      <c r="E991" s="29"/>
      <c r="F991" s="28"/>
      <c r="G991" s="29"/>
      <c r="H991" s="29"/>
      <c r="I991" s="28"/>
    </row>
    <row r="992" spans="1:9" ht="12.75" x14ac:dyDescent="0.2">
      <c r="A992" s="28"/>
      <c r="B992" s="29"/>
      <c r="C992" s="29"/>
      <c r="D992" s="29"/>
      <c r="E992" s="29"/>
      <c r="F992" s="28"/>
      <c r="G992" s="29"/>
      <c r="H992" s="29"/>
      <c r="I992" s="28"/>
    </row>
    <row r="993" spans="1:9" ht="12.75" x14ac:dyDescent="0.2">
      <c r="A993" s="28"/>
      <c r="B993" s="29"/>
      <c r="C993" s="29"/>
      <c r="D993" s="29"/>
      <c r="E993" s="29"/>
      <c r="F993" s="28"/>
      <c r="G993" s="29"/>
      <c r="H993" s="29"/>
      <c r="I993" s="28"/>
    </row>
    <row r="994" spans="1:9" ht="12.75" x14ac:dyDescent="0.2">
      <c r="A994" s="28"/>
      <c r="B994" s="29"/>
      <c r="C994" s="29"/>
      <c r="D994" s="29"/>
      <c r="E994" s="29"/>
      <c r="F994" s="28"/>
      <c r="G994" s="29"/>
      <c r="H994" s="29"/>
      <c r="I994" s="28"/>
    </row>
    <row r="995" spans="1:9" ht="12.75" x14ac:dyDescent="0.2">
      <c r="A995" s="28"/>
      <c r="B995" s="29"/>
      <c r="C995" s="29"/>
      <c r="D995" s="29"/>
      <c r="E995" s="29"/>
      <c r="F995" s="28"/>
      <c r="G995" s="29"/>
      <c r="H995" s="29"/>
      <c r="I995" s="28"/>
    </row>
    <row r="996" spans="1:9" ht="12.75" x14ac:dyDescent="0.2">
      <c r="A996" s="28"/>
      <c r="B996" s="29"/>
      <c r="C996" s="29"/>
      <c r="D996" s="29"/>
      <c r="E996" s="29"/>
      <c r="F996" s="28"/>
      <c r="G996" s="29"/>
      <c r="H996" s="29"/>
      <c r="I996" s="28"/>
    </row>
    <row r="997" spans="1:9" ht="12.75" x14ac:dyDescent="0.2">
      <c r="A997" s="28"/>
      <c r="B997" s="29"/>
      <c r="C997" s="29"/>
      <c r="D997" s="29"/>
      <c r="E997" s="29"/>
      <c r="F997" s="28"/>
      <c r="G997" s="29"/>
      <c r="H997" s="29"/>
      <c r="I997" s="28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C4"/>
  <sheetViews>
    <sheetView workbookViewId="0">
      <selection activeCell="C2" sqref="C2"/>
    </sheetView>
  </sheetViews>
  <sheetFormatPr baseColWidth="10" defaultRowHeight="15" x14ac:dyDescent="0.25"/>
  <cols>
    <col min="1" max="1" width="15" customWidth="1"/>
    <col min="2" max="2" width="15.28515625" customWidth="1"/>
    <col min="3" max="3" width="16.5703125" customWidth="1"/>
  </cols>
  <sheetData>
    <row r="1" spans="1:3" ht="30" x14ac:dyDescent="0.25">
      <c r="A1" s="2" t="s">
        <v>156</v>
      </c>
      <c r="B1" s="2" t="s">
        <v>157</v>
      </c>
      <c r="C1" s="2" t="s">
        <v>158</v>
      </c>
    </row>
    <row r="2" spans="1:3" x14ac:dyDescent="0.25">
      <c r="A2" s="9" t="s">
        <v>178</v>
      </c>
      <c r="B2" s="9" t="s">
        <v>278</v>
      </c>
      <c r="C2" s="5" t="s">
        <v>1057</v>
      </c>
    </row>
    <row r="4" spans="1:3" x14ac:dyDescent="0.25">
      <c r="C4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C7"/>
  <sheetViews>
    <sheetView workbookViewId="0">
      <selection activeCell="B6" sqref="B6"/>
    </sheetView>
  </sheetViews>
  <sheetFormatPr baseColWidth="10" defaultRowHeight="18.75" customHeight="1" x14ac:dyDescent="0.25"/>
  <cols>
    <col min="1" max="1" width="15" customWidth="1"/>
    <col min="2" max="2" width="15.28515625" customWidth="1"/>
    <col min="3" max="3" width="16.5703125" customWidth="1"/>
  </cols>
  <sheetData>
    <row r="1" spans="1:3" ht="35.25" customHeight="1" x14ac:dyDescent="0.25">
      <c r="A1" s="2" t="s">
        <v>176</v>
      </c>
      <c r="B1" s="2" t="s">
        <v>177</v>
      </c>
      <c r="C1" s="2"/>
    </row>
    <row r="2" spans="1:3" ht="18.75" customHeight="1" x14ac:dyDescent="0.25">
      <c r="A2" s="3" t="s">
        <v>13</v>
      </c>
      <c r="B2" t="s">
        <v>1053</v>
      </c>
    </row>
    <row r="3" spans="1:3" ht="18.75" customHeight="1" x14ac:dyDescent="0.25">
      <c r="A3" s="3" t="s">
        <v>16</v>
      </c>
      <c r="B3" s="3" t="s">
        <v>1054</v>
      </c>
    </row>
    <row r="4" spans="1:3" ht="18.75" customHeight="1" x14ac:dyDescent="0.25">
      <c r="A4" s="3" t="s">
        <v>179</v>
      </c>
      <c r="B4" s="3" t="s">
        <v>1050</v>
      </c>
    </row>
    <row r="5" spans="1:3" ht="18.75" customHeight="1" x14ac:dyDescent="0.25">
      <c r="A5" s="3" t="s">
        <v>239</v>
      </c>
      <c r="B5" t="s">
        <v>1049</v>
      </c>
    </row>
    <row r="6" spans="1:3" ht="18.75" customHeight="1" x14ac:dyDescent="0.25">
      <c r="A6" s="3" t="s">
        <v>240</v>
      </c>
      <c r="B6" t="s">
        <v>1055</v>
      </c>
    </row>
    <row r="7" spans="1:3" ht="18.75" customHeight="1" x14ac:dyDescent="0.25">
      <c r="A7" s="3" t="s">
        <v>1052</v>
      </c>
      <c r="B7" t="s">
        <v>1051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/>
  <dimension ref="A2:A8"/>
  <sheetViews>
    <sheetView workbookViewId="0">
      <selection activeCell="A8" sqref="A8"/>
    </sheetView>
  </sheetViews>
  <sheetFormatPr baseColWidth="10" defaultRowHeight="15" x14ac:dyDescent="0.25"/>
  <sheetData>
    <row r="2" spans="1:1" x14ac:dyDescent="0.25">
      <c r="A2" t="s">
        <v>1056</v>
      </c>
    </row>
    <row r="3" spans="1:1" ht="30" x14ac:dyDescent="0.25">
      <c r="A3" s="3" t="s">
        <v>13</v>
      </c>
    </row>
    <row r="4" spans="1:1" x14ac:dyDescent="0.25">
      <c r="A4" s="3" t="s">
        <v>16</v>
      </c>
    </row>
    <row r="5" spans="1:1" x14ac:dyDescent="0.25">
      <c r="A5" s="3" t="s">
        <v>179</v>
      </c>
    </row>
    <row r="6" spans="1:1" x14ac:dyDescent="0.25">
      <c r="A6" s="3" t="s">
        <v>239</v>
      </c>
    </row>
    <row r="7" spans="1:1" x14ac:dyDescent="0.25">
      <c r="A7" s="3" t="s">
        <v>240</v>
      </c>
    </row>
    <row r="8" spans="1:1" ht="30" x14ac:dyDescent="0.25">
      <c r="A8" s="3" t="s">
        <v>1061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94"/>
  <sheetViews>
    <sheetView topLeftCell="A16" zoomScale="70" zoomScaleNormal="70" workbookViewId="0">
      <selection activeCell="H10" sqref="H10"/>
    </sheetView>
  </sheetViews>
  <sheetFormatPr baseColWidth="10" defaultRowHeight="15" x14ac:dyDescent="0.25"/>
  <cols>
    <col min="3" max="3" width="11.42578125" style="4"/>
    <col min="14" max="14" width="11.85546875" bestFit="1" customWidth="1"/>
    <col min="15" max="15" width="6.5703125" customWidth="1"/>
  </cols>
  <sheetData>
    <row r="1" spans="1:10" s="1" customFormat="1" x14ac:dyDescent="0.25">
      <c r="A1" s="1" t="s">
        <v>243</v>
      </c>
      <c r="B1" s="1" t="s">
        <v>161</v>
      </c>
      <c r="C1" s="8" t="s">
        <v>162</v>
      </c>
      <c r="D1" s="1" t="s">
        <v>164</v>
      </c>
      <c r="E1" s="1" t="s">
        <v>163</v>
      </c>
      <c r="I1" s="1" t="s">
        <v>165</v>
      </c>
    </row>
    <row r="2" spans="1:10" x14ac:dyDescent="0.25">
      <c r="A2" t="s">
        <v>13</v>
      </c>
      <c r="B2" t="s">
        <v>5</v>
      </c>
      <c r="C2" s="4" t="s">
        <v>166</v>
      </c>
      <c r="D2" t="s">
        <v>6</v>
      </c>
      <c r="I2" t="s">
        <v>35</v>
      </c>
    </row>
    <row r="3" spans="1:10" x14ac:dyDescent="0.25">
      <c r="B3" s="7" t="s">
        <v>14</v>
      </c>
      <c r="C3" s="4" t="s">
        <v>155</v>
      </c>
      <c r="D3" t="s">
        <v>15</v>
      </c>
      <c r="I3" t="s">
        <v>36</v>
      </c>
    </row>
    <row r="5" spans="1:10" x14ac:dyDescent="0.25">
      <c r="A5" t="s">
        <v>16</v>
      </c>
      <c r="B5" t="s">
        <v>7</v>
      </c>
      <c r="C5" s="4" t="s">
        <v>167</v>
      </c>
      <c r="D5" t="s">
        <v>8</v>
      </c>
      <c r="I5" t="s">
        <v>35</v>
      </c>
    </row>
    <row r="6" spans="1:10" x14ac:dyDescent="0.25">
      <c r="B6" t="s">
        <v>9</v>
      </c>
      <c r="C6" s="4" t="s">
        <v>168</v>
      </c>
      <c r="D6" t="s">
        <v>10</v>
      </c>
      <c r="I6" t="s">
        <v>36</v>
      </c>
    </row>
    <row r="7" spans="1:10" x14ac:dyDescent="0.25">
      <c r="B7" t="s">
        <v>11</v>
      </c>
      <c r="C7" s="4" t="s">
        <v>169</v>
      </c>
      <c r="D7" t="s">
        <v>12</v>
      </c>
      <c r="I7" t="s">
        <v>36</v>
      </c>
      <c r="J7" t="s">
        <v>37</v>
      </c>
    </row>
    <row r="8" spans="1:10" x14ac:dyDescent="0.25">
      <c r="B8" s="4"/>
    </row>
    <row r="10" spans="1:10" x14ac:dyDescent="0.25">
      <c r="A10" t="s">
        <v>52</v>
      </c>
      <c r="B10" t="s">
        <v>17</v>
      </c>
      <c r="C10" s="4" t="s">
        <v>242</v>
      </c>
      <c r="D10" t="s">
        <v>20</v>
      </c>
      <c r="I10" t="s">
        <v>4</v>
      </c>
    </row>
    <row r="11" spans="1:10" x14ac:dyDescent="0.25">
      <c r="B11" t="s">
        <v>18</v>
      </c>
      <c r="C11" s="4" t="s">
        <v>170</v>
      </c>
      <c r="D11" t="s">
        <v>19</v>
      </c>
      <c r="I11" t="s">
        <v>4</v>
      </c>
    </row>
    <row r="12" spans="1:10" x14ac:dyDescent="0.25">
      <c r="B12" t="s">
        <v>22</v>
      </c>
      <c r="C12" s="4" t="s">
        <v>171</v>
      </c>
      <c r="D12" t="s">
        <v>21</v>
      </c>
      <c r="I12" t="s">
        <v>4</v>
      </c>
    </row>
    <row r="13" spans="1:10" x14ac:dyDescent="0.25">
      <c r="A13" t="s">
        <v>27</v>
      </c>
      <c r="B13" t="s">
        <v>25</v>
      </c>
      <c r="C13" s="4" t="s">
        <v>172</v>
      </c>
      <c r="D13" t="s">
        <v>23</v>
      </c>
    </row>
    <row r="14" spans="1:10" x14ac:dyDescent="0.25">
      <c r="B14" t="s">
        <v>26</v>
      </c>
      <c r="C14" s="4" t="s">
        <v>173</v>
      </c>
      <c r="D14" t="s">
        <v>24</v>
      </c>
    </row>
    <row r="15" spans="1:10" x14ac:dyDescent="0.25">
      <c r="B15" t="s">
        <v>30</v>
      </c>
      <c r="C15" s="4" t="s">
        <v>174</v>
      </c>
      <c r="D15" t="s">
        <v>31</v>
      </c>
    </row>
    <row r="16" spans="1:10" x14ac:dyDescent="0.25">
      <c r="B16" t="s">
        <v>32</v>
      </c>
      <c r="C16" s="4" t="s">
        <v>175</v>
      </c>
      <c r="D16" t="s">
        <v>29</v>
      </c>
    </row>
    <row r="17" spans="1:9" x14ac:dyDescent="0.25">
      <c r="A17" t="s">
        <v>28</v>
      </c>
      <c r="B17" t="s">
        <v>38</v>
      </c>
      <c r="C17" s="4" t="s">
        <v>181</v>
      </c>
      <c r="D17" t="s">
        <v>40</v>
      </c>
      <c r="I17" t="s">
        <v>4</v>
      </c>
    </row>
    <row r="18" spans="1:9" x14ac:dyDescent="0.25">
      <c r="B18" t="s">
        <v>33</v>
      </c>
      <c r="C18" s="4" t="s">
        <v>180</v>
      </c>
      <c r="D18" t="s">
        <v>41</v>
      </c>
      <c r="I18" t="s">
        <v>4</v>
      </c>
    </row>
    <row r="19" spans="1:9" x14ac:dyDescent="0.25">
      <c r="B19" t="s">
        <v>39</v>
      </c>
      <c r="C19" s="4" t="s">
        <v>182</v>
      </c>
      <c r="D19" t="s">
        <v>42</v>
      </c>
      <c r="I19" t="s">
        <v>4</v>
      </c>
    </row>
    <row r="20" spans="1:9" x14ac:dyDescent="0.25">
      <c r="B20" t="s">
        <v>34</v>
      </c>
      <c r="C20" s="4" t="s">
        <v>183</v>
      </c>
      <c r="D20" t="s">
        <v>43</v>
      </c>
      <c r="I20" t="s">
        <v>4</v>
      </c>
    </row>
    <row r="21" spans="1:9" x14ac:dyDescent="0.25">
      <c r="B21" t="s">
        <v>49</v>
      </c>
      <c r="C21" s="4" t="s">
        <v>184</v>
      </c>
      <c r="D21" t="s">
        <v>44</v>
      </c>
      <c r="I21" t="s">
        <v>4</v>
      </c>
    </row>
    <row r="22" spans="1:9" x14ac:dyDescent="0.25">
      <c r="B22" t="s">
        <v>48</v>
      </c>
      <c r="C22" s="4" t="s">
        <v>185</v>
      </c>
      <c r="D22" t="s">
        <v>45</v>
      </c>
      <c r="I22" t="s">
        <v>4</v>
      </c>
    </row>
    <row r="23" spans="1:9" x14ac:dyDescent="0.25">
      <c r="B23" t="s">
        <v>51</v>
      </c>
      <c r="C23" s="4" t="s">
        <v>186</v>
      </c>
      <c r="D23" t="s">
        <v>46</v>
      </c>
      <c r="I23" t="s">
        <v>4</v>
      </c>
    </row>
    <row r="24" spans="1:9" x14ac:dyDescent="0.25">
      <c r="B24" t="s">
        <v>50</v>
      </c>
      <c r="C24" s="4" t="s">
        <v>187</v>
      </c>
      <c r="D24" t="s">
        <v>47</v>
      </c>
      <c r="I24" t="s">
        <v>4</v>
      </c>
    </row>
    <row r="26" spans="1:9" x14ac:dyDescent="0.25">
      <c r="A26" t="s">
        <v>53</v>
      </c>
      <c r="B26" t="s">
        <v>58</v>
      </c>
      <c r="C26" s="4" t="s">
        <v>188</v>
      </c>
      <c r="D26" t="s">
        <v>62</v>
      </c>
      <c r="I26" t="s">
        <v>4</v>
      </c>
    </row>
    <row r="27" spans="1:9" x14ac:dyDescent="0.25">
      <c r="B27" t="s">
        <v>0</v>
      </c>
      <c r="C27" s="4" t="s">
        <v>189</v>
      </c>
      <c r="D27" t="s">
        <v>54</v>
      </c>
      <c r="I27" t="s">
        <v>4</v>
      </c>
    </row>
    <row r="28" spans="1:9" x14ac:dyDescent="0.25">
      <c r="B28" t="s">
        <v>59</v>
      </c>
      <c r="C28" s="4" t="s">
        <v>190</v>
      </c>
      <c r="D28" t="s">
        <v>55</v>
      </c>
      <c r="I28" t="s">
        <v>4</v>
      </c>
    </row>
    <row r="29" spans="1:9" x14ac:dyDescent="0.25">
      <c r="B29" t="s">
        <v>60</v>
      </c>
      <c r="C29" s="4" t="s">
        <v>191</v>
      </c>
      <c r="D29" t="s">
        <v>56</v>
      </c>
      <c r="I29" t="s">
        <v>4</v>
      </c>
    </row>
    <row r="30" spans="1:9" x14ac:dyDescent="0.25">
      <c r="B30" t="s">
        <v>61</v>
      </c>
      <c r="C30" s="4" t="s">
        <v>192</v>
      </c>
      <c r="D30" t="s">
        <v>57</v>
      </c>
      <c r="I30" t="s">
        <v>4</v>
      </c>
    </row>
    <row r="31" spans="1:9" x14ac:dyDescent="0.25">
      <c r="B31" t="s">
        <v>68</v>
      </c>
      <c r="C31" s="4" t="s">
        <v>193</v>
      </c>
      <c r="D31" t="s">
        <v>63</v>
      </c>
      <c r="I31" t="s">
        <v>4</v>
      </c>
    </row>
    <row r="32" spans="1:9" x14ac:dyDescent="0.25">
      <c r="B32" t="s">
        <v>1</v>
      </c>
      <c r="C32" s="4" t="s">
        <v>194</v>
      </c>
      <c r="D32" t="s">
        <v>64</v>
      </c>
      <c r="I32" t="s">
        <v>4</v>
      </c>
    </row>
    <row r="33" spans="1:9" x14ac:dyDescent="0.25">
      <c r="B33" t="s">
        <v>69</v>
      </c>
      <c r="C33" s="4" t="s">
        <v>195</v>
      </c>
      <c r="D33" t="s">
        <v>65</v>
      </c>
      <c r="I33" t="s">
        <v>4</v>
      </c>
    </row>
    <row r="34" spans="1:9" x14ac:dyDescent="0.25">
      <c r="B34" t="s">
        <v>70</v>
      </c>
      <c r="C34" s="4" t="s">
        <v>196</v>
      </c>
      <c r="D34" t="s">
        <v>66</v>
      </c>
      <c r="I34" t="s">
        <v>4</v>
      </c>
    </row>
    <row r="35" spans="1:9" x14ac:dyDescent="0.25">
      <c r="B35" t="s">
        <v>71</v>
      </c>
      <c r="C35" s="4" t="s">
        <v>197</v>
      </c>
      <c r="D35" t="s">
        <v>67</v>
      </c>
      <c r="I35" t="s">
        <v>4</v>
      </c>
    </row>
    <row r="36" spans="1:9" x14ac:dyDescent="0.25">
      <c r="B36" t="s">
        <v>77</v>
      </c>
      <c r="C36" s="4" t="s">
        <v>198</v>
      </c>
      <c r="D36" t="s">
        <v>72</v>
      </c>
      <c r="I36" t="s">
        <v>4</v>
      </c>
    </row>
    <row r="37" spans="1:9" x14ac:dyDescent="0.25">
      <c r="B37" t="s">
        <v>2</v>
      </c>
      <c r="C37" s="4" t="s">
        <v>199</v>
      </c>
      <c r="D37" t="s">
        <v>73</v>
      </c>
      <c r="I37" t="s">
        <v>4</v>
      </c>
    </row>
    <row r="38" spans="1:9" x14ac:dyDescent="0.25">
      <c r="B38" t="s">
        <v>78</v>
      </c>
      <c r="C38" s="4" t="s">
        <v>200</v>
      </c>
      <c r="D38" t="s">
        <v>74</v>
      </c>
      <c r="I38" t="s">
        <v>4</v>
      </c>
    </row>
    <row r="39" spans="1:9" x14ac:dyDescent="0.25">
      <c r="B39" t="s">
        <v>79</v>
      </c>
      <c r="C39" s="4" t="s">
        <v>201</v>
      </c>
      <c r="D39" t="s">
        <v>75</v>
      </c>
      <c r="I39" t="s">
        <v>4</v>
      </c>
    </row>
    <row r="40" spans="1:9" x14ac:dyDescent="0.25">
      <c r="B40" t="s">
        <v>80</v>
      </c>
      <c r="C40" s="4" t="s">
        <v>202</v>
      </c>
      <c r="D40" t="s">
        <v>76</v>
      </c>
      <c r="I40" t="s">
        <v>4</v>
      </c>
    </row>
    <row r="41" spans="1:9" x14ac:dyDescent="0.25">
      <c r="B41" t="s">
        <v>81</v>
      </c>
      <c r="C41" s="4" t="s">
        <v>203</v>
      </c>
      <c r="D41" t="s">
        <v>85</v>
      </c>
    </row>
    <row r="42" spans="1:9" x14ac:dyDescent="0.25">
      <c r="B42" t="s">
        <v>3</v>
      </c>
      <c r="C42" s="4" t="s">
        <v>204</v>
      </c>
      <c r="D42" t="s">
        <v>86</v>
      </c>
    </row>
    <row r="43" spans="1:9" x14ac:dyDescent="0.25">
      <c r="B43" t="s">
        <v>82</v>
      </c>
      <c r="C43" s="4" t="s">
        <v>205</v>
      </c>
      <c r="D43" t="s">
        <v>87</v>
      </c>
    </row>
    <row r="44" spans="1:9" x14ac:dyDescent="0.25">
      <c r="B44" t="s">
        <v>83</v>
      </c>
      <c r="C44" s="4" t="s">
        <v>206</v>
      </c>
      <c r="D44" t="s">
        <v>88</v>
      </c>
    </row>
    <row r="45" spans="1:9" x14ac:dyDescent="0.25">
      <c r="B45" t="s">
        <v>84</v>
      </c>
      <c r="C45" s="4" t="s">
        <v>207</v>
      </c>
      <c r="D45" t="s">
        <v>89</v>
      </c>
    </row>
    <row r="47" spans="1:9" x14ac:dyDescent="0.25">
      <c r="A47" t="s">
        <v>53</v>
      </c>
      <c r="B47" t="s">
        <v>110</v>
      </c>
      <c r="C47" s="4" t="s">
        <v>208</v>
      </c>
      <c r="D47" t="s">
        <v>90</v>
      </c>
      <c r="I47" t="s">
        <v>4</v>
      </c>
    </row>
    <row r="48" spans="1:9" x14ac:dyDescent="0.25">
      <c r="B48" t="s">
        <v>111</v>
      </c>
      <c r="C48" s="4" t="s">
        <v>209</v>
      </c>
      <c r="D48" t="s">
        <v>91</v>
      </c>
      <c r="I48" t="s">
        <v>4</v>
      </c>
    </row>
    <row r="49" spans="2:9" x14ac:dyDescent="0.25">
      <c r="B49" t="s">
        <v>112</v>
      </c>
      <c r="C49" s="4" t="s">
        <v>210</v>
      </c>
      <c r="D49" t="s">
        <v>92</v>
      </c>
      <c r="I49" t="s">
        <v>4</v>
      </c>
    </row>
    <row r="50" spans="2:9" x14ac:dyDescent="0.25">
      <c r="B50" t="s">
        <v>113</v>
      </c>
      <c r="C50" s="4" t="s">
        <v>211</v>
      </c>
      <c r="D50" t="s">
        <v>93</v>
      </c>
      <c r="I50" t="s">
        <v>4</v>
      </c>
    </row>
    <row r="51" spans="2:9" x14ac:dyDescent="0.25">
      <c r="B51" t="s">
        <v>114</v>
      </c>
      <c r="C51" s="4" t="s">
        <v>212</v>
      </c>
      <c r="D51" t="s">
        <v>94</v>
      </c>
      <c r="I51" t="s">
        <v>4</v>
      </c>
    </row>
    <row r="52" spans="2:9" x14ac:dyDescent="0.25">
      <c r="B52" t="s">
        <v>115</v>
      </c>
      <c r="C52" s="4" t="s">
        <v>213</v>
      </c>
      <c r="D52" t="s">
        <v>95</v>
      </c>
      <c r="I52" t="s">
        <v>4</v>
      </c>
    </row>
    <row r="53" spans="2:9" x14ac:dyDescent="0.25">
      <c r="B53" t="s">
        <v>116</v>
      </c>
      <c r="C53" s="4" t="s">
        <v>214</v>
      </c>
      <c r="D53" t="s">
        <v>96</v>
      </c>
      <c r="I53" t="s">
        <v>4</v>
      </c>
    </row>
    <row r="54" spans="2:9" x14ac:dyDescent="0.25">
      <c r="B54" t="s">
        <v>117</v>
      </c>
      <c r="C54" s="4" t="s">
        <v>215</v>
      </c>
      <c r="D54" t="s">
        <v>97</v>
      </c>
      <c r="I54" t="s">
        <v>4</v>
      </c>
    </row>
    <row r="55" spans="2:9" x14ac:dyDescent="0.25">
      <c r="B55" t="s">
        <v>118</v>
      </c>
      <c r="C55" s="4" t="s">
        <v>216</v>
      </c>
      <c r="D55" t="s">
        <v>98</v>
      </c>
      <c r="I55" t="s">
        <v>4</v>
      </c>
    </row>
    <row r="56" spans="2:9" x14ac:dyDescent="0.25">
      <c r="B56" t="s">
        <v>119</v>
      </c>
      <c r="C56" s="4" t="s">
        <v>217</v>
      </c>
      <c r="D56" t="s">
        <v>99</v>
      </c>
      <c r="I56" t="s">
        <v>4</v>
      </c>
    </row>
    <row r="57" spans="2:9" x14ac:dyDescent="0.25">
      <c r="B57" t="s">
        <v>120</v>
      </c>
      <c r="C57" s="4" t="s">
        <v>218</v>
      </c>
      <c r="D57" t="s">
        <v>100</v>
      </c>
      <c r="I57" t="s">
        <v>4</v>
      </c>
    </row>
    <row r="58" spans="2:9" x14ac:dyDescent="0.25">
      <c r="B58" t="s">
        <v>121</v>
      </c>
      <c r="C58" s="4" t="s">
        <v>219</v>
      </c>
      <c r="D58" t="s">
        <v>101</v>
      </c>
      <c r="I58" t="s">
        <v>4</v>
      </c>
    </row>
    <row r="59" spans="2:9" x14ac:dyDescent="0.25">
      <c r="B59" t="s">
        <v>122</v>
      </c>
      <c r="C59" s="4" t="s">
        <v>220</v>
      </c>
      <c r="D59" t="s">
        <v>102</v>
      </c>
      <c r="I59" t="s">
        <v>4</v>
      </c>
    </row>
    <row r="60" spans="2:9" x14ac:dyDescent="0.25">
      <c r="B60" t="s">
        <v>123</v>
      </c>
      <c r="C60" s="4" t="s">
        <v>221</v>
      </c>
      <c r="D60" t="s">
        <v>103</v>
      </c>
      <c r="I60" t="s">
        <v>4</v>
      </c>
    </row>
    <row r="61" spans="2:9" x14ac:dyDescent="0.25">
      <c r="B61" t="s">
        <v>124</v>
      </c>
      <c r="C61" s="4" t="s">
        <v>222</v>
      </c>
      <c r="D61" t="s">
        <v>104</v>
      </c>
      <c r="I61" t="s">
        <v>4</v>
      </c>
    </row>
    <row r="62" spans="2:9" x14ac:dyDescent="0.25">
      <c r="B62" t="s">
        <v>125</v>
      </c>
      <c r="C62" s="4" t="s">
        <v>223</v>
      </c>
      <c r="D62" t="s">
        <v>105</v>
      </c>
      <c r="I62" t="s">
        <v>130</v>
      </c>
    </row>
    <row r="63" spans="2:9" x14ac:dyDescent="0.25">
      <c r="B63" t="s">
        <v>126</v>
      </c>
      <c r="C63" s="4" t="s">
        <v>224</v>
      </c>
      <c r="D63" t="s">
        <v>106</v>
      </c>
      <c r="I63" t="s">
        <v>130</v>
      </c>
    </row>
    <row r="64" spans="2:9" x14ac:dyDescent="0.25">
      <c r="B64" t="s">
        <v>127</v>
      </c>
      <c r="C64" s="4" t="s">
        <v>225</v>
      </c>
      <c r="D64" t="s">
        <v>107</v>
      </c>
      <c r="I64" t="s">
        <v>130</v>
      </c>
    </row>
    <row r="65" spans="1:9" x14ac:dyDescent="0.25">
      <c r="B65" t="s">
        <v>128</v>
      </c>
      <c r="C65" s="4" t="s">
        <v>226</v>
      </c>
      <c r="D65" t="s">
        <v>108</v>
      </c>
      <c r="I65" t="s">
        <v>130</v>
      </c>
    </row>
    <row r="66" spans="1:9" x14ac:dyDescent="0.25">
      <c r="B66" t="s">
        <v>129</v>
      </c>
      <c r="C66" s="4" t="s">
        <v>227</v>
      </c>
      <c r="D66" t="s">
        <v>109</v>
      </c>
      <c r="I66" t="s">
        <v>130</v>
      </c>
    </row>
    <row r="69" spans="1:9" x14ac:dyDescent="0.25">
      <c r="A69" t="s">
        <v>131</v>
      </c>
      <c r="B69" t="s">
        <v>134</v>
      </c>
      <c r="C69" s="4" t="s">
        <v>228</v>
      </c>
      <c r="D69" t="s">
        <v>132</v>
      </c>
    </row>
    <row r="70" spans="1:9" x14ac:dyDescent="0.25">
      <c r="B70" t="s">
        <v>135</v>
      </c>
      <c r="C70" s="4" t="s">
        <v>229</v>
      </c>
      <c r="D70" t="s">
        <v>133</v>
      </c>
    </row>
    <row r="71" spans="1:9" x14ac:dyDescent="0.25">
      <c r="B71" t="s">
        <v>138</v>
      </c>
      <c r="C71" s="4" t="s">
        <v>230</v>
      </c>
      <c r="D71" t="s">
        <v>136</v>
      </c>
    </row>
    <row r="72" spans="1:9" x14ac:dyDescent="0.25">
      <c r="B72" t="s">
        <v>139</v>
      </c>
      <c r="C72" s="4" t="s">
        <v>231</v>
      </c>
      <c r="D72" t="s">
        <v>137</v>
      </c>
    </row>
    <row r="73" spans="1:9" x14ac:dyDescent="0.25">
      <c r="B73" t="s">
        <v>141</v>
      </c>
      <c r="C73" s="4" t="s">
        <v>232</v>
      </c>
      <c r="D73" t="s">
        <v>140</v>
      </c>
    </row>
    <row r="74" spans="1:9" x14ac:dyDescent="0.25">
      <c r="B74" t="s">
        <v>142</v>
      </c>
      <c r="C74" s="4" t="s">
        <v>233</v>
      </c>
      <c r="D74" t="s">
        <v>143</v>
      </c>
    </row>
    <row r="75" spans="1:9" x14ac:dyDescent="0.25">
      <c r="B75" t="s">
        <v>145</v>
      </c>
      <c r="C75" s="4" t="s">
        <v>234</v>
      </c>
      <c r="D75" t="s">
        <v>144</v>
      </c>
    </row>
    <row r="76" spans="1:9" x14ac:dyDescent="0.25">
      <c r="B76" t="s">
        <v>146</v>
      </c>
      <c r="C76" s="4" t="s">
        <v>235</v>
      </c>
      <c r="D76" t="s">
        <v>147</v>
      </c>
    </row>
    <row r="77" spans="1:9" x14ac:dyDescent="0.25">
      <c r="B77" t="s">
        <v>149</v>
      </c>
      <c r="C77" s="4" t="s">
        <v>236</v>
      </c>
      <c r="D77" t="s">
        <v>148</v>
      </c>
    </row>
    <row r="79" spans="1:9" x14ac:dyDescent="0.25">
      <c r="A79" t="s">
        <v>150</v>
      </c>
      <c r="B79" t="s">
        <v>152</v>
      </c>
      <c r="C79" s="4" t="s">
        <v>237</v>
      </c>
      <c r="D79" t="s">
        <v>151</v>
      </c>
    </row>
    <row r="80" spans="1:9" x14ac:dyDescent="0.25">
      <c r="B80" t="s">
        <v>153</v>
      </c>
      <c r="C80" s="4" t="s">
        <v>238</v>
      </c>
      <c r="D80" t="s">
        <v>154</v>
      </c>
    </row>
    <row r="81" spans="2:4" x14ac:dyDescent="0.25">
      <c r="B81" t="s">
        <v>244</v>
      </c>
      <c r="C81" s="4" t="s">
        <v>245</v>
      </c>
      <c r="D81" t="s">
        <v>246</v>
      </c>
    </row>
    <row r="82" spans="2:4" x14ac:dyDescent="0.25">
      <c r="B82" t="s">
        <v>247</v>
      </c>
      <c r="C82" s="4" t="s">
        <v>248</v>
      </c>
      <c r="D82" t="s">
        <v>249</v>
      </c>
    </row>
    <row r="83" spans="2:4" x14ac:dyDescent="0.25">
      <c r="B83" t="s">
        <v>250</v>
      </c>
      <c r="C83" s="4" t="s">
        <v>251</v>
      </c>
      <c r="D83" t="s">
        <v>252</v>
      </c>
    </row>
    <row r="84" spans="2:4" x14ac:dyDescent="0.25">
      <c r="B84" t="s">
        <v>253</v>
      </c>
      <c r="C84" s="4" t="s">
        <v>255</v>
      </c>
      <c r="D84" t="s">
        <v>256</v>
      </c>
    </row>
    <row r="85" spans="2:4" x14ac:dyDescent="0.25">
      <c r="B85" t="s">
        <v>254</v>
      </c>
      <c r="C85" s="4" t="s">
        <v>257</v>
      </c>
    </row>
    <row r="86" spans="2:4" x14ac:dyDescent="0.25">
      <c r="B86" t="s">
        <v>258</v>
      </c>
      <c r="C86" s="4" t="s">
        <v>261</v>
      </c>
      <c r="D86" t="s">
        <v>259</v>
      </c>
    </row>
    <row r="87" spans="2:4" x14ac:dyDescent="0.25">
      <c r="B87" t="s">
        <v>260</v>
      </c>
      <c r="C87" s="4" t="s">
        <v>262</v>
      </c>
      <c r="D87" t="s">
        <v>263</v>
      </c>
    </row>
    <row r="88" spans="2:4" x14ac:dyDescent="0.25">
      <c r="B88" t="s">
        <v>264</v>
      </c>
      <c r="C88" s="4" t="s">
        <v>265</v>
      </c>
    </row>
    <row r="89" spans="2:4" x14ac:dyDescent="0.25">
      <c r="B89" t="s">
        <v>266</v>
      </c>
      <c r="C89" s="4" t="s">
        <v>267</v>
      </c>
    </row>
    <row r="90" spans="2:4" x14ac:dyDescent="0.25">
      <c r="B90" t="s">
        <v>268</v>
      </c>
      <c r="C90" s="4" t="s">
        <v>269</v>
      </c>
    </row>
    <row r="91" spans="2:4" x14ac:dyDescent="0.25">
      <c r="B91" t="s">
        <v>270</v>
      </c>
      <c r="C91" s="4" t="s">
        <v>271</v>
      </c>
    </row>
    <row r="92" spans="2:4" x14ac:dyDescent="0.25">
      <c r="B92" t="s">
        <v>272</v>
      </c>
      <c r="C92" s="4" t="s">
        <v>273</v>
      </c>
    </row>
    <row r="93" spans="2:4" x14ac:dyDescent="0.25">
      <c r="B93" t="s">
        <v>276</v>
      </c>
      <c r="C93" s="4" t="s">
        <v>274</v>
      </c>
    </row>
    <row r="94" spans="2:4" x14ac:dyDescent="0.25">
      <c r="B94" t="s">
        <v>277</v>
      </c>
      <c r="C94" s="4" t="s">
        <v>275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1"/>
  <sheetViews>
    <sheetView workbookViewId="0">
      <selection activeCell="E11" sqref="E11"/>
    </sheetView>
  </sheetViews>
  <sheetFormatPr baseColWidth="10" defaultRowHeight="15" x14ac:dyDescent="0.25"/>
  <sheetData>
    <row r="1" spans="1:5" x14ac:dyDescent="0.25">
      <c r="A1" t="s">
        <v>159</v>
      </c>
      <c r="B1" t="s">
        <v>160</v>
      </c>
      <c r="C1" t="s">
        <v>279</v>
      </c>
      <c r="D1" t="s">
        <v>280</v>
      </c>
      <c r="E1" t="s">
        <v>167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1"/>
  <sheetViews>
    <sheetView workbookViewId="0"/>
  </sheetViews>
  <sheetFormatPr baseColWidth="10" defaultRowHeight="15" x14ac:dyDescent="0.25"/>
  <sheetData>
    <row r="1" spans="1:6" x14ac:dyDescent="0.25">
      <c r="A1" t="s">
        <v>159</v>
      </c>
      <c r="B1" t="s">
        <v>160</v>
      </c>
      <c r="C1" t="s">
        <v>285</v>
      </c>
      <c r="D1" t="s">
        <v>286</v>
      </c>
      <c r="E1" t="s">
        <v>287</v>
      </c>
      <c r="F1" t="s">
        <v>288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Q1"/>
  <sheetViews>
    <sheetView workbookViewId="0">
      <selection activeCell="F1" sqref="F1:F1048576"/>
    </sheetView>
  </sheetViews>
  <sheetFormatPr baseColWidth="10" defaultRowHeight="15" x14ac:dyDescent="0.25"/>
  <sheetData>
    <row r="1" spans="1:95" x14ac:dyDescent="0.25">
      <c r="A1" t="s">
        <v>159</v>
      </c>
      <c r="B1" t="s">
        <v>160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175</v>
      </c>
      <c r="J1" t="s">
        <v>306</v>
      </c>
      <c r="K1" t="s">
        <v>307</v>
      </c>
      <c r="L1" t="s">
        <v>308</v>
      </c>
      <c r="M1" t="s">
        <v>309</v>
      </c>
      <c r="N1" t="s">
        <v>310</v>
      </c>
      <c r="O1" t="s">
        <v>311</v>
      </c>
      <c r="P1" t="s">
        <v>308</v>
      </c>
      <c r="Q1" t="s">
        <v>309</v>
      </c>
      <c r="R1" t="s">
        <v>312</v>
      </c>
      <c r="S1" t="s">
        <v>313</v>
      </c>
      <c r="T1" t="s">
        <v>314</v>
      </c>
      <c r="U1" t="s">
        <v>315</v>
      </c>
      <c r="V1" t="s">
        <v>316</v>
      </c>
      <c r="W1" t="s">
        <v>317</v>
      </c>
      <c r="X1" t="s">
        <v>318</v>
      </c>
      <c r="Y1" t="s">
        <v>319</v>
      </c>
      <c r="Z1" t="s">
        <v>320</v>
      </c>
      <c r="AA1" t="s">
        <v>321</v>
      </c>
      <c r="AB1" t="s">
        <v>322</v>
      </c>
      <c r="AC1" t="s">
        <v>323</v>
      </c>
      <c r="AD1" t="s">
        <v>324</v>
      </c>
      <c r="AE1" t="s">
        <v>325</v>
      </c>
      <c r="AF1" t="s">
        <v>326</v>
      </c>
      <c r="AG1" t="s">
        <v>327</v>
      </c>
      <c r="AH1" t="s">
        <v>328</v>
      </c>
      <c r="AI1" t="s">
        <v>329</v>
      </c>
      <c r="AJ1" t="s">
        <v>330</v>
      </c>
      <c r="AK1" t="s">
        <v>331</v>
      </c>
      <c r="AL1" t="s">
        <v>332</v>
      </c>
      <c r="AM1" t="s">
        <v>333</v>
      </c>
      <c r="AN1" t="s">
        <v>334</v>
      </c>
      <c r="AO1" t="s">
        <v>335</v>
      </c>
      <c r="AP1" t="s">
        <v>336</v>
      </c>
      <c r="AQ1" t="s">
        <v>337</v>
      </c>
      <c r="AR1" t="s">
        <v>338</v>
      </c>
      <c r="AS1" t="s">
        <v>339</v>
      </c>
      <c r="AT1" t="s">
        <v>340</v>
      </c>
      <c r="AU1" t="s">
        <v>341</v>
      </c>
      <c r="AV1" t="s">
        <v>342</v>
      </c>
      <c r="AW1" t="s">
        <v>343</v>
      </c>
      <c r="AX1" t="s">
        <v>344</v>
      </c>
      <c r="AY1" t="s">
        <v>345</v>
      </c>
      <c r="AZ1" t="s">
        <v>346</v>
      </c>
      <c r="BA1" t="s">
        <v>347</v>
      </c>
      <c r="BB1" t="s">
        <v>348</v>
      </c>
      <c r="BC1" t="s">
        <v>349</v>
      </c>
      <c r="BD1" t="s">
        <v>350</v>
      </c>
      <c r="BE1" t="s">
        <v>351</v>
      </c>
      <c r="BF1" t="s">
        <v>352</v>
      </c>
      <c r="BG1" t="s">
        <v>353</v>
      </c>
      <c r="BH1" t="s">
        <v>354</v>
      </c>
      <c r="BI1" t="s">
        <v>355</v>
      </c>
      <c r="BJ1" t="s">
        <v>356</v>
      </c>
      <c r="BK1" t="s">
        <v>357</v>
      </c>
      <c r="BL1" t="s">
        <v>358</v>
      </c>
      <c r="BM1" t="s">
        <v>359</v>
      </c>
      <c r="BN1" t="s">
        <v>360</v>
      </c>
      <c r="BO1" t="s">
        <v>361</v>
      </c>
      <c r="BP1" t="s">
        <v>362</v>
      </c>
      <c r="BQ1" t="s">
        <v>363</v>
      </c>
      <c r="BR1" t="s">
        <v>364</v>
      </c>
      <c r="BS1" t="s">
        <v>365</v>
      </c>
      <c r="BT1" t="s">
        <v>366</v>
      </c>
      <c r="BU1" t="s">
        <v>367</v>
      </c>
      <c r="BV1" t="s">
        <v>368</v>
      </c>
      <c r="BW1" t="s">
        <v>369</v>
      </c>
      <c r="BX1" t="s">
        <v>370</v>
      </c>
      <c r="BY1" t="s">
        <v>371</v>
      </c>
      <c r="BZ1" t="s">
        <v>372</v>
      </c>
      <c r="CA1" t="s">
        <v>373</v>
      </c>
      <c r="CB1" t="s">
        <v>374</v>
      </c>
      <c r="CC1" t="s">
        <v>375</v>
      </c>
      <c r="CD1" t="s">
        <v>376</v>
      </c>
      <c r="CE1" t="s">
        <v>377</v>
      </c>
      <c r="CF1" t="s">
        <v>378</v>
      </c>
      <c r="CG1" t="s">
        <v>379</v>
      </c>
      <c r="CH1" t="s">
        <v>380</v>
      </c>
      <c r="CI1" t="s">
        <v>381</v>
      </c>
      <c r="CJ1" t="s">
        <v>382</v>
      </c>
      <c r="CK1" t="s">
        <v>383</v>
      </c>
      <c r="CL1" t="s">
        <v>384</v>
      </c>
      <c r="CM1" t="s">
        <v>385</v>
      </c>
      <c r="CN1" t="s">
        <v>386</v>
      </c>
      <c r="CO1" t="s">
        <v>387</v>
      </c>
      <c r="CP1" t="s">
        <v>388</v>
      </c>
      <c r="CQ1" t="s">
        <v>389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GD1"/>
  <sheetViews>
    <sheetView topLeftCell="FH1" workbookViewId="0">
      <selection activeCell="D18" sqref="D18"/>
    </sheetView>
  </sheetViews>
  <sheetFormatPr baseColWidth="10" defaultRowHeight="15" x14ac:dyDescent="0.25"/>
  <sheetData>
    <row r="1" spans="1:186" x14ac:dyDescent="0.25">
      <c r="A1" t="s">
        <v>159</v>
      </c>
      <c r="B1" t="s">
        <v>160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167</v>
      </c>
      <c r="H1" s="1" t="s">
        <v>283</v>
      </c>
      <c r="I1" s="1" t="s">
        <v>284</v>
      </c>
      <c r="J1" s="1" t="s">
        <v>285</v>
      </c>
      <c r="K1" s="1" t="s">
        <v>286</v>
      </c>
      <c r="L1" s="1" t="s">
        <v>287</v>
      </c>
      <c r="M1" s="1" t="s">
        <v>288</v>
      </c>
      <c r="N1" s="1" t="s">
        <v>289</v>
      </c>
      <c r="O1" s="1" t="s">
        <v>290</v>
      </c>
      <c r="P1" s="1" t="s">
        <v>291</v>
      </c>
      <c r="Q1" s="1" t="s">
        <v>292</v>
      </c>
      <c r="R1" s="1" t="s">
        <v>293</v>
      </c>
      <c r="S1" s="1" t="s">
        <v>294</v>
      </c>
      <c r="T1" s="1" t="s">
        <v>295</v>
      </c>
      <c r="U1" s="1" t="s">
        <v>296</v>
      </c>
      <c r="V1" s="1" t="s">
        <v>297</v>
      </c>
      <c r="W1" s="1" t="s">
        <v>298</v>
      </c>
      <c r="X1" s="1" t="s">
        <v>299</v>
      </c>
      <c r="Y1" s="1" t="s">
        <v>300</v>
      </c>
      <c r="Z1" s="1" t="s">
        <v>301</v>
      </c>
      <c r="AA1" s="1" t="s">
        <v>302</v>
      </c>
      <c r="AB1" s="1" t="s">
        <v>303</v>
      </c>
      <c r="AC1" s="1" t="s">
        <v>305</v>
      </c>
      <c r="AD1" s="1" t="s">
        <v>304</v>
      </c>
      <c r="AE1" s="1" t="s">
        <v>175</v>
      </c>
      <c r="AF1" s="1" t="s">
        <v>306</v>
      </c>
      <c r="AG1" s="1" t="s">
        <v>307</v>
      </c>
      <c r="AH1" s="1" t="s">
        <v>308</v>
      </c>
      <c r="AI1" s="1" t="s">
        <v>309</v>
      </c>
      <c r="AJ1" s="1" t="s">
        <v>310</v>
      </c>
      <c r="AK1" s="1" t="s">
        <v>311</v>
      </c>
      <c r="AL1" s="1" t="s">
        <v>308</v>
      </c>
      <c r="AM1" s="1" t="s">
        <v>309</v>
      </c>
      <c r="AN1" s="1" t="s">
        <v>312</v>
      </c>
      <c r="AO1" s="1" t="s">
        <v>313</v>
      </c>
      <c r="AP1" s="1" t="s">
        <v>314</v>
      </c>
      <c r="AQ1" s="1" t="s">
        <v>315</v>
      </c>
      <c r="AR1" s="1" t="s">
        <v>316</v>
      </c>
      <c r="AS1" s="1" t="s">
        <v>317</v>
      </c>
      <c r="AT1" s="1" t="s">
        <v>318</v>
      </c>
      <c r="AU1" s="1" t="s">
        <v>319</v>
      </c>
      <c r="AV1" s="1" t="s">
        <v>320</v>
      </c>
      <c r="AW1" s="1" t="s">
        <v>321</v>
      </c>
      <c r="AX1" s="1" t="s">
        <v>322</v>
      </c>
      <c r="AY1" s="1" t="s">
        <v>323</v>
      </c>
      <c r="AZ1" s="1" t="s">
        <v>324</v>
      </c>
      <c r="BA1" s="1" t="s">
        <v>325</v>
      </c>
      <c r="BB1" s="1" t="s">
        <v>326</v>
      </c>
      <c r="BC1" s="1" t="s">
        <v>327</v>
      </c>
      <c r="BD1" s="1" t="s">
        <v>328</v>
      </c>
      <c r="BE1" s="1" t="s">
        <v>329</v>
      </c>
      <c r="BF1" s="1" t="s">
        <v>330</v>
      </c>
      <c r="BG1" s="1" t="s">
        <v>331</v>
      </c>
      <c r="BH1" s="1" t="s">
        <v>332</v>
      </c>
      <c r="BI1" s="1" t="s">
        <v>333</v>
      </c>
      <c r="BJ1" s="1" t="s">
        <v>334</v>
      </c>
      <c r="BK1" s="1" t="s">
        <v>335</v>
      </c>
      <c r="BL1" s="1" t="s">
        <v>336</v>
      </c>
      <c r="BM1" s="1" t="s">
        <v>337</v>
      </c>
      <c r="BN1" s="1" t="s">
        <v>338</v>
      </c>
      <c r="BO1" s="1" t="s">
        <v>339</v>
      </c>
      <c r="BP1" s="1" t="s">
        <v>340</v>
      </c>
      <c r="BQ1" s="1" t="s">
        <v>341</v>
      </c>
      <c r="BR1" s="1" t="s">
        <v>342</v>
      </c>
      <c r="BS1" s="1" t="s">
        <v>343</v>
      </c>
      <c r="BT1" s="1" t="s">
        <v>344</v>
      </c>
      <c r="BU1" s="1" t="s">
        <v>345</v>
      </c>
      <c r="BV1" s="1" t="s">
        <v>346</v>
      </c>
      <c r="BW1" s="1" t="s">
        <v>347</v>
      </c>
      <c r="BX1" s="1" t="s">
        <v>348</v>
      </c>
      <c r="BY1" s="1" t="s">
        <v>349</v>
      </c>
      <c r="BZ1" s="1" t="s">
        <v>350</v>
      </c>
      <c r="CA1" s="1" t="s">
        <v>351</v>
      </c>
      <c r="CB1" s="1" t="s">
        <v>352</v>
      </c>
      <c r="CC1" s="1" t="s">
        <v>353</v>
      </c>
      <c r="CD1" s="1" t="s">
        <v>354</v>
      </c>
      <c r="CE1" s="1" t="s">
        <v>355</v>
      </c>
      <c r="CF1" s="1" t="s">
        <v>356</v>
      </c>
      <c r="CG1" s="1" t="s">
        <v>357</v>
      </c>
      <c r="CH1" s="1" t="s">
        <v>358</v>
      </c>
      <c r="CI1" s="1" t="s">
        <v>359</v>
      </c>
      <c r="CJ1" s="1" t="s">
        <v>360</v>
      </c>
      <c r="CK1" s="1" t="s">
        <v>361</v>
      </c>
      <c r="CL1" s="1" t="s">
        <v>362</v>
      </c>
      <c r="CM1" s="1" t="s">
        <v>363</v>
      </c>
      <c r="CN1" s="1" t="s">
        <v>364</v>
      </c>
      <c r="CO1" s="1" t="s">
        <v>365</v>
      </c>
      <c r="CP1" s="1" t="s">
        <v>366</v>
      </c>
      <c r="CQ1" s="1" t="s">
        <v>367</v>
      </c>
      <c r="CR1" s="1" t="s">
        <v>368</v>
      </c>
      <c r="CS1" s="1" t="s">
        <v>369</v>
      </c>
      <c r="CT1" s="1" t="s">
        <v>370</v>
      </c>
      <c r="CU1" s="1" t="s">
        <v>371</v>
      </c>
      <c r="CV1" s="1" t="s">
        <v>372</v>
      </c>
      <c r="CW1" s="1" t="s">
        <v>373</v>
      </c>
      <c r="CX1" s="1" t="s">
        <v>374</v>
      </c>
      <c r="CY1" s="1" t="s">
        <v>375</v>
      </c>
      <c r="CZ1" s="1" t="s">
        <v>376</v>
      </c>
      <c r="DA1" s="1" t="s">
        <v>377</v>
      </c>
      <c r="DB1" s="1" t="s">
        <v>378</v>
      </c>
      <c r="DC1" s="1" t="s">
        <v>379</v>
      </c>
      <c r="DD1" s="1" t="s">
        <v>380</v>
      </c>
      <c r="DE1" s="1" t="s">
        <v>381</v>
      </c>
      <c r="DF1" s="1" t="s">
        <v>382</v>
      </c>
      <c r="DG1" s="1" t="s">
        <v>383</v>
      </c>
      <c r="DH1" s="1" t="s">
        <v>384</v>
      </c>
      <c r="DI1" s="1" t="s">
        <v>385</v>
      </c>
      <c r="DJ1" s="1" t="s">
        <v>386</v>
      </c>
      <c r="DK1" s="1" t="s">
        <v>387</v>
      </c>
      <c r="DL1" s="1" t="s">
        <v>388</v>
      </c>
      <c r="DM1" s="1" t="s">
        <v>389</v>
      </c>
      <c r="DN1" s="1" t="s">
        <v>390</v>
      </c>
      <c r="DO1" s="1" t="s">
        <v>391</v>
      </c>
      <c r="DP1" s="1" t="s">
        <v>392</v>
      </c>
      <c r="DQ1" s="1" t="s">
        <v>393</v>
      </c>
      <c r="DR1" s="1" t="s">
        <v>394</v>
      </c>
      <c r="DS1" s="1" t="s">
        <v>395</v>
      </c>
      <c r="DT1" s="1" t="s">
        <v>396</v>
      </c>
      <c r="DU1" s="1" t="s">
        <v>397</v>
      </c>
      <c r="DV1" s="1" t="s">
        <v>398</v>
      </c>
      <c r="DW1" s="1" t="s">
        <v>399</v>
      </c>
      <c r="DX1" s="1" t="s">
        <v>400</v>
      </c>
      <c r="DY1" s="1" t="s">
        <v>401</v>
      </c>
      <c r="DZ1" s="1" t="s">
        <v>402</v>
      </c>
      <c r="EA1" s="1" t="s">
        <v>403</v>
      </c>
      <c r="EB1" s="1" t="s">
        <v>404</v>
      </c>
      <c r="EC1" s="1" t="s">
        <v>405</v>
      </c>
      <c r="ED1" s="1" t="s">
        <v>406</v>
      </c>
      <c r="EE1" s="1" t="s">
        <v>407</v>
      </c>
      <c r="EF1" s="1" t="s">
        <v>408</v>
      </c>
      <c r="EG1" s="1" t="s">
        <v>409</v>
      </c>
      <c r="EH1" s="1" t="s">
        <v>410</v>
      </c>
      <c r="EI1" s="1" t="s">
        <v>411</v>
      </c>
      <c r="EJ1" s="1" t="s">
        <v>412</v>
      </c>
      <c r="EK1" s="1" t="s">
        <v>413</v>
      </c>
      <c r="EL1" s="1" t="s">
        <v>414</v>
      </c>
      <c r="EM1" s="1" t="s">
        <v>415</v>
      </c>
      <c r="EN1" s="1" t="s">
        <v>416</v>
      </c>
      <c r="EO1" s="1" t="s">
        <v>417</v>
      </c>
      <c r="EP1" s="1" t="s">
        <v>418</v>
      </c>
      <c r="EQ1" s="1" t="s">
        <v>419</v>
      </c>
      <c r="ER1" s="1" t="s">
        <v>420</v>
      </c>
      <c r="ES1" s="1" t="s">
        <v>421</v>
      </c>
      <c r="ET1" s="1" t="s">
        <v>422</v>
      </c>
      <c r="EU1" s="1" t="s">
        <v>423</v>
      </c>
      <c r="EV1" s="1" t="s">
        <v>424</v>
      </c>
      <c r="EW1" s="1" t="s">
        <v>425</v>
      </c>
      <c r="EX1" s="1" t="s">
        <v>426</v>
      </c>
      <c r="EY1" s="1" t="s">
        <v>427</v>
      </c>
      <c r="EZ1" s="1" t="s">
        <v>428</v>
      </c>
      <c r="FA1" s="1" t="s">
        <v>429</v>
      </c>
      <c r="FB1" s="1" t="s">
        <v>430</v>
      </c>
      <c r="FC1" s="1" t="s">
        <v>431</v>
      </c>
      <c r="FD1" s="1" t="s">
        <v>432</v>
      </c>
      <c r="FE1" s="1" t="s">
        <v>433</v>
      </c>
      <c r="FF1" s="1" t="s">
        <v>434</v>
      </c>
      <c r="FG1" s="1" t="s">
        <v>435</v>
      </c>
      <c r="FH1" s="1" t="s">
        <v>436</v>
      </c>
      <c r="FI1" s="1" t="s">
        <v>437</v>
      </c>
      <c r="FJ1" s="1" t="s">
        <v>438</v>
      </c>
      <c r="FK1" s="1" t="s">
        <v>439</v>
      </c>
      <c r="FL1" s="1" t="s">
        <v>440</v>
      </c>
      <c r="FM1" s="1" t="s">
        <v>441</v>
      </c>
      <c r="FN1" s="1" t="s">
        <v>442</v>
      </c>
      <c r="FO1" s="1" t="s">
        <v>443</v>
      </c>
      <c r="FP1" s="1" t="s">
        <v>444</v>
      </c>
      <c r="FQ1" s="1" t="s">
        <v>445</v>
      </c>
      <c r="FR1" s="1" t="s">
        <v>446</v>
      </c>
      <c r="FS1" s="1" t="s">
        <v>447</v>
      </c>
      <c r="FT1" s="1" t="s">
        <v>448</v>
      </c>
      <c r="FU1" s="1" t="s">
        <v>449</v>
      </c>
      <c r="FV1" s="1" t="s">
        <v>450</v>
      </c>
      <c r="FW1" s="1" t="s">
        <v>451</v>
      </c>
      <c r="FX1" s="1" t="s">
        <v>452</v>
      </c>
      <c r="FY1" s="1" t="s">
        <v>453</v>
      </c>
      <c r="FZ1" s="1" t="s">
        <v>454</v>
      </c>
      <c r="GA1" s="1" t="s">
        <v>455</v>
      </c>
      <c r="GB1" s="1" t="s">
        <v>456</v>
      </c>
      <c r="GC1" s="1" t="s">
        <v>457</v>
      </c>
      <c r="GD1" s="1" t="s">
        <v>458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3:H7"/>
  <sheetViews>
    <sheetView workbookViewId="0">
      <selection activeCell="H8" sqref="H8"/>
    </sheetView>
  </sheetViews>
  <sheetFormatPr baseColWidth="10" defaultRowHeight="15" x14ac:dyDescent="0.25"/>
  <cols>
    <col min="2" max="2" width="16.5703125" bestFit="1" customWidth="1"/>
    <col min="4" max="4" width="11.85546875" bestFit="1" customWidth="1"/>
    <col min="5" max="5" width="15.42578125" customWidth="1"/>
    <col min="8" max="8" width="21.7109375" customWidth="1"/>
  </cols>
  <sheetData>
    <row r="3" spans="1:8" x14ac:dyDescent="0.25">
      <c r="A3" s="30" t="s">
        <v>1090</v>
      </c>
      <c r="B3" s="30" t="s">
        <v>1091</v>
      </c>
      <c r="C3" s="31" t="s">
        <v>1062</v>
      </c>
      <c r="D3" s="31" t="s">
        <v>1063</v>
      </c>
      <c r="E3" s="31" t="s">
        <v>1064</v>
      </c>
      <c r="F3" s="31" t="s">
        <v>1065</v>
      </c>
      <c r="G3" s="31" t="s">
        <v>1066</v>
      </c>
      <c r="H3" s="31" t="s">
        <v>1061</v>
      </c>
    </row>
    <row r="4" spans="1:8" x14ac:dyDescent="0.25">
      <c r="A4" t="s">
        <v>1058</v>
      </c>
      <c r="B4" t="s">
        <v>462</v>
      </c>
      <c r="C4" s="9" t="e">
        <f>IF(E4&gt;11.05,"3",IF(E4&gt;7.05,"2","1"))</f>
        <v>#N/A</v>
      </c>
      <c r="D4" s="9"/>
      <c r="E4" s="9" t="e">
        <f>MAX(F4:G4)</f>
        <v>#N/A</v>
      </c>
      <c r="F4" s="9" t="e">
        <f>VLOOKUP($B4,ValorOcra!$B:$E,2)</f>
        <v>#N/A</v>
      </c>
      <c r="G4" s="9" t="e">
        <f>VLOOKUP($B4,ValorOcra!$B:$E,3)</f>
        <v>#N/A</v>
      </c>
      <c r="H4" t="str">
        <f>IFERROR(INDEX(Combinaciones!D$2:D$1000, MATCH(B4,Combinaciones!B$2:B$1000, 0)), "")</f>
        <v/>
      </c>
    </row>
    <row r="5" spans="1:8" x14ac:dyDescent="0.25">
      <c r="A5" t="s">
        <v>1059</v>
      </c>
      <c r="B5" t="s">
        <v>1077</v>
      </c>
      <c r="C5" s="9" t="e">
        <f>IF(E5&gt;11.05,"3",IF(E5&gt;7.05,"2","1"))</f>
        <v>#N/A</v>
      </c>
      <c r="D5" t="str">
        <f>IF(ISNUMBER(FIND(B5,H4)), "Compatible", "Incompatible")</f>
        <v>Incompatible</v>
      </c>
      <c r="E5" s="9" t="e">
        <f>MAX(F5:G5)</f>
        <v>#N/A</v>
      </c>
      <c r="F5" s="9" t="e">
        <f>VLOOKUP($B5,ValorOcra!$B:$E,2)</f>
        <v>#N/A</v>
      </c>
      <c r="G5" s="9" t="e">
        <f>VLOOKUP($B5,ValorOcra!$B:$E,3)</f>
        <v>#N/A</v>
      </c>
      <c r="H5" t="str">
        <f>IFERROR(INDEX(Combinaciones!D$2:D$1000, MATCH(B5,Combinaciones!B$2:B$1000, 0)), "")</f>
        <v/>
      </c>
    </row>
    <row r="6" spans="1:8" x14ac:dyDescent="0.25">
      <c r="A6" t="s">
        <v>1060</v>
      </c>
      <c r="B6" t="s">
        <v>1078</v>
      </c>
      <c r="C6" s="9" t="e">
        <f>IF(E6&gt;11.05,"3",IF(E6&gt;7.05,"2","1"))</f>
        <v>#N/A</v>
      </c>
      <c r="D6" t="str">
        <f>IF(ISNUMBER(FIND(", " &amp; B6 &amp; ", ", ", " &amp; H5 &amp; ", ")), "Compatible", "Incompatible")</f>
        <v>Incompatible</v>
      </c>
      <c r="E6" s="9" t="e">
        <f>MAX(F6:G6)</f>
        <v>#N/A</v>
      </c>
      <c r="F6" s="9" t="e">
        <f>VLOOKUP($B6,ValorOcra!$B:$E,2)</f>
        <v>#N/A</v>
      </c>
      <c r="G6" s="9" t="e">
        <f>VLOOKUP($B6,ValorOcra!$B:$E,3)</f>
        <v>#N/A</v>
      </c>
      <c r="H6" t="str">
        <f>IFERROR(INDEX(Combinaciones!D$2:D$1000, MATCH(B6,Combinaciones!B$2:B$1000, 0)), "")</f>
        <v/>
      </c>
    </row>
    <row r="7" spans="1:8" x14ac:dyDescent="0.25">
      <c r="A7" t="s">
        <v>1092</v>
      </c>
      <c r="B7" t="s">
        <v>1071</v>
      </c>
      <c r="C7" s="9" t="e">
        <f>IF(E7&gt;11.05,"3",IF(E7&gt;7.05,"2","1"))</f>
        <v>#N/A</v>
      </c>
      <c r="D7" t="str">
        <f>IF(ISNUMBER(FIND(", " &amp; B7 &amp; ", ", ", " &amp; H6 &amp; ", ")), "Compatible", "Incompatible")</f>
        <v>Incompatible</v>
      </c>
      <c r="E7" s="9" t="e">
        <f>MAX(F7:G7)</f>
        <v>#N/A</v>
      </c>
      <c r="F7" s="9" t="e">
        <f>VLOOKUP($B7,ValorOcra!$B:$E,2)</f>
        <v>#N/A</v>
      </c>
      <c r="G7" s="9" t="e">
        <f>VLOOKUP($B7,ValorOcra!$B:$E,3)</f>
        <v>#N/A</v>
      </c>
      <c r="H7" t="str">
        <f>IFERROR(INDEX(Combinaciones!D$2:D$1000, MATCH(B7,Combinaciones!B$2:B$1000, 0)), "")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Datos!$B$2:$B$303</xm:f>
          </x14:formula1>
          <xm:sqref>B4:B7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M1"/>
  <sheetViews>
    <sheetView workbookViewId="0"/>
  </sheetViews>
  <sheetFormatPr baseColWidth="10" defaultRowHeight="15" x14ac:dyDescent="0.25"/>
  <sheetData>
    <row r="1" spans="1:13" x14ac:dyDescent="0.25">
      <c r="A1" t="s">
        <v>159</v>
      </c>
      <c r="B1" t="s">
        <v>160</v>
      </c>
      <c r="C1" t="s">
        <v>390</v>
      </c>
      <c r="D1" t="s">
        <v>391</v>
      </c>
      <c r="E1" t="s">
        <v>392</v>
      </c>
      <c r="F1" t="s">
        <v>393</v>
      </c>
      <c r="G1" t="s">
        <v>394</v>
      </c>
      <c r="H1" t="s">
        <v>395</v>
      </c>
      <c r="I1" t="s">
        <v>396</v>
      </c>
      <c r="J1" t="s">
        <v>397</v>
      </c>
      <c r="K1" t="s">
        <v>398</v>
      </c>
      <c r="L1" t="s">
        <v>399</v>
      </c>
      <c r="M1" t="s">
        <v>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1"/>
  <sheetViews>
    <sheetView workbookViewId="0">
      <selection activeCell="D1" sqref="D1"/>
    </sheetView>
  </sheetViews>
  <sheetFormatPr baseColWidth="10" defaultRowHeight="15" x14ac:dyDescent="0.25"/>
  <sheetData>
    <row r="1" spans="1:4" x14ac:dyDescent="0.25">
      <c r="A1" t="s">
        <v>159</v>
      </c>
      <c r="B1" t="s">
        <v>160</v>
      </c>
      <c r="C1" t="s">
        <v>430</v>
      </c>
      <c r="D1" t="s">
        <v>418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R44"/>
  <sheetViews>
    <sheetView workbookViewId="0">
      <selection activeCell="Q3" sqref="Q3"/>
    </sheetView>
  </sheetViews>
  <sheetFormatPr baseColWidth="10" defaultRowHeight="15" x14ac:dyDescent="0.25"/>
  <sheetData>
    <row r="1" spans="1:18" x14ac:dyDescent="0.25">
      <c r="A1" t="s">
        <v>159</v>
      </c>
      <c r="B1" t="s">
        <v>160</v>
      </c>
      <c r="C1" t="s">
        <v>443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  <c r="K1" t="s">
        <v>451</v>
      </c>
      <c r="L1" t="s">
        <v>452</v>
      </c>
      <c r="M1" t="s">
        <v>453</v>
      </c>
      <c r="N1" t="s">
        <v>454</v>
      </c>
      <c r="O1" t="s">
        <v>455</v>
      </c>
      <c r="P1" t="s">
        <v>456</v>
      </c>
      <c r="Q1" t="s">
        <v>457</v>
      </c>
      <c r="R1" t="s">
        <v>458</v>
      </c>
    </row>
    <row r="2" spans="1:18" x14ac:dyDescent="0.25">
      <c r="A2">
        <v>1</v>
      </c>
      <c r="B2" t="s">
        <v>1067</v>
      </c>
      <c r="D2" t="s">
        <v>4</v>
      </c>
      <c r="E2" t="s">
        <v>4</v>
      </c>
      <c r="G2" t="s">
        <v>4</v>
      </c>
      <c r="K2" t="s">
        <v>4</v>
      </c>
      <c r="Q2" t="s">
        <v>1068</v>
      </c>
    </row>
    <row r="3" spans="1:18" x14ac:dyDescent="0.25">
      <c r="A3">
        <v>2</v>
      </c>
      <c r="B3" t="s">
        <v>1069</v>
      </c>
      <c r="D3" t="s">
        <v>4</v>
      </c>
      <c r="E3" t="s">
        <v>4</v>
      </c>
      <c r="G3" t="s">
        <v>4</v>
      </c>
      <c r="K3" t="s">
        <v>4</v>
      </c>
    </row>
    <row r="4" spans="1:18" x14ac:dyDescent="0.25">
      <c r="A4">
        <v>3</v>
      </c>
      <c r="B4" t="s">
        <v>1070</v>
      </c>
      <c r="D4" t="s">
        <v>4</v>
      </c>
      <c r="E4" t="s">
        <v>4</v>
      </c>
      <c r="N4" t="s">
        <v>4</v>
      </c>
    </row>
    <row r="5" spans="1:18" x14ac:dyDescent="0.25">
      <c r="A5">
        <v>4</v>
      </c>
      <c r="B5" t="s">
        <v>1071</v>
      </c>
      <c r="D5" t="s">
        <v>4</v>
      </c>
      <c r="F5" t="s">
        <v>4</v>
      </c>
      <c r="O5" t="s">
        <v>4</v>
      </c>
    </row>
    <row r="6" spans="1:18" x14ac:dyDescent="0.25">
      <c r="A6">
        <v>5</v>
      </c>
      <c r="B6" t="s">
        <v>460</v>
      </c>
      <c r="C6" t="s">
        <v>4</v>
      </c>
      <c r="F6" t="s">
        <v>4</v>
      </c>
      <c r="G6" t="s">
        <v>4</v>
      </c>
      <c r="H6" t="s">
        <v>4</v>
      </c>
      <c r="P6" t="s">
        <v>4</v>
      </c>
    </row>
    <row r="7" spans="1:18" x14ac:dyDescent="0.25">
      <c r="A7">
        <v>6</v>
      </c>
      <c r="B7" t="s">
        <v>461</v>
      </c>
      <c r="C7" t="s">
        <v>4</v>
      </c>
      <c r="F7" t="s">
        <v>4</v>
      </c>
      <c r="G7" t="s">
        <v>4</v>
      </c>
      <c r="P7" t="s">
        <v>4</v>
      </c>
    </row>
    <row r="8" spans="1:18" x14ac:dyDescent="0.25">
      <c r="A8">
        <v>7</v>
      </c>
      <c r="B8" t="s">
        <v>462</v>
      </c>
      <c r="D8" t="s">
        <v>4</v>
      </c>
      <c r="E8" t="s">
        <v>4</v>
      </c>
      <c r="G8" t="s">
        <v>4</v>
      </c>
      <c r="P8" t="s">
        <v>4</v>
      </c>
    </row>
    <row r="9" spans="1:18" x14ac:dyDescent="0.25">
      <c r="A9">
        <v>8</v>
      </c>
      <c r="B9" t="s">
        <v>1072</v>
      </c>
      <c r="C9" t="s">
        <v>4</v>
      </c>
      <c r="F9" t="s">
        <v>4</v>
      </c>
      <c r="G9" t="s">
        <v>4</v>
      </c>
      <c r="H9" t="s">
        <v>4</v>
      </c>
    </row>
    <row r="10" spans="1:18" x14ac:dyDescent="0.25">
      <c r="A10">
        <v>9</v>
      </c>
      <c r="B10" t="s">
        <v>1073</v>
      </c>
      <c r="C10" t="s">
        <v>4</v>
      </c>
      <c r="F10" t="s">
        <v>4</v>
      </c>
      <c r="G10" t="s">
        <v>4</v>
      </c>
      <c r="I10" t="s">
        <v>4</v>
      </c>
    </row>
    <row r="11" spans="1:18" x14ac:dyDescent="0.25">
      <c r="A11">
        <v>10</v>
      </c>
      <c r="B11" t="s">
        <v>1074</v>
      </c>
      <c r="C11" t="s">
        <v>4</v>
      </c>
      <c r="F11" t="s">
        <v>4</v>
      </c>
      <c r="G11" t="s">
        <v>4</v>
      </c>
    </row>
    <row r="12" spans="1:18" x14ac:dyDescent="0.25">
      <c r="A12">
        <v>11</v>
      </c>
      <c r="B12" t="s">
        <v>1075</v>
      </c>
      <c r="C12" t="s">
        <v>4</v>
      </c>
      <c r="F12" t="s">
        <v>4</v>
      </c>
      <c r="J12" t="s">
        <v>4</v>
      </c>
    </row>
    <row r="13" spans="1:18" x14ac:dyDescent="0.25">
      <c r="A13">
        <v>12</v>
      </c>
      <c r="B13" t="s">
        <v>1076</v>
      </c>
      <c r="C13" t="s">
        <v>4</v>
      </c>
      <c r="F13" t="s">
        <v>4</v>
      </c>
      <c r="G13" t="s">
        <v>4</v>
      </c>
      <c r="I13" t="s">
        <v>4</v>
      </c>
    </row>
    <row r="14" spans="1:18" x14ac:dyDescent="0.25">
      <c r="A14">
        <v>13</v>
      </c>
      <c r="B14" t="s">
        <v>1077</v>
      </c>
      <c r="C14" t="s">
        <v>4</v>
      </c>
      <c r="F14" t="s">
        <v>4</v>
      </c>
      <c r="G14" t="s">
        <v>4</v>
      </c>
      <c r="I14" t="s">
        <v>4</v>
      </c>
    </row>
    <row r="15" spans="1:18" x14ac:dyDescent="0.25">
      <c r="A15">
        <v>14</v>
      </c>
      <c r="B15" t="s">
        <v>1078</v>
      </c>
      <c r="D15" t="s">
        <v>4</v>
      </c>
      <c r="E15" t="s">
        <v>4</v>
      </c>
      <c r="N15" t="s">
        <v>4</v>
      </c>
    </row>
    <row r="16" spans="1:18" x14ac:dyDescent="0.25">
      <c r="A16">
        <v>15</v>
      </c>
      <c r="B16" t="s">
        <v>1079</v>
      </c>
      <c r="D16" t="s">
        <v>4</v>
      </c>
      <c r="E16" t="s">
        <v>4</v>
      </c>
      <c r="L16" t="s">
        <v>4</v>
      </c>
    </row>
    <row r="17" spans="1:18" x14ac:dyDescent="0.25">
      <c r="A17">
        <v>16</v>
      </c>
      <c r="B17" t="s">
        <v>1080</v>
      </c>
      <c r="D17" t="s">
        <v>4</v>
      </c>
      <c r="E17" t="s">
        <v>4</v>
      </c>
      <c r="L17" t="s">
        <v>4</v>
      </c>
    </row>
    <row r="18" spans="1:18" x14ac:dyDescent="0.25">
      <c r="A18">
        <v>17</v>
      </c>
      <c r="B18" t="s">
        <v>1081</v>
      </c>
      <c r="D18" t="s">
        <v>4</v>
      </c>
      <c r="F18" t="s">
        <v>4</v>
      </c>
      <c r="O18" t="s">
        <v>4</v>
      </c>
    </row>
    <row r="19" spans="1:18" x14ac:dyDescent="0.25">
      <c r="A19">
        <v>18</v>
      </c>
      <c r="B19" t="s">
        <v>1082</v>
      </c>
      <c r="D19" t="s">
        <v>4</v>
      </c>
      <c r="F19" t="s">
        <v>4</v>
      </c>
      <c r="J19" t="s">
        <v>4</v>
      </c>
      <c r="K19" t="s">
        <v>4</v>
      </c>
    </row>
    <row r="20" spans="1:18" x14ac:dyDescent="0.25">
      <c r="A20">
        <v>19</v>
      </c>
      <c r="B20" t="s">
        <v>1083</v>
      </c>
      <c r="C20" t="s">
        <v>4</v>
      </c>
      <c r="F20" t="s">
        <v>4</v>
      </c>
      <c r="G20" t="s">
        <v>4</v>
      </c>
      <c r="J20" t="s">
        <v>4</v>
      </c>
      <c r="K20" t="s">
        <v>4</v>
      </c>
    </row>
    <row r="21" spans="1:18" x14ac:dyDescent="0.25">
      <c r="A21">
        <v>20</v>
      </c>
      <c r="B21" t="s">
        <v>1084</v>
      </c>
      <c r="D21" t="s">
        <v>4</v>
      </c>
      <c r="E21" t="s">
        <v>4</v>
      </c>
      <c r="N21" t="s">
        <v>4</v>
      </c>
    </row>
    <row r="22" spans="1:18" x14ac:dyDescent="0.25">
      <c r="A22">
        <v>21</v>
      </c>
      <c r="B22" t="s">
        <v>1085</v>
      </c>
      <c r="D22" t="s">
        <v>4</v>
      </c>
      <c r="E22" t="s">
        <v>4</v>
      </c>
      <c r="N22" t="s">
        <v>4</v>
      </c>
    </row>
    <row r="23" spans="1:18" x14ac:dyDescent="0.25">
      <c r="A23">
        <v>22</v>
      </c>
      <c r="B23" t="s">
        <v>463</v>
      </c>
      <c r="C23" t="s">
        <v>4</v>
      </c>
      <c r="F23" t="s">
        <v>4</v>
      </c>
      <c r="G23" t="s">
        <v>4</v>
      </c>
      <c r="J23" t="s">
        <v>4</v>
      </c>
      <c r="P23" t="s">
        <v>130</v>
      </c>
    </row>
    <row r="24" spans="1:18" x14ac:dyDescent="0.25">
      <c r="A24">
        <v>23</v>
      </c>
      <c r="B24" t="s">
        <v>464</v>
      </c>
      <c r="C24" t="s">
        <v>4</v>
      </c>
      <c r="F24" t="s">
        <v>4</v>
      </c>
      <c r="G24" t="s">
        <v>4</v>
      </c>
      <c r="J24" t="s">
        <v>4</v>
      </c>
      <c r="P24" t="s">
        <v>4</v>
      </c>
    </row>
    <row r="25" spans="1:18" x14ac:dyDescent="0.25">
      <c r="A25">
        <v>24</v>
      </c>
      <c r="B25" t="s">
        <v>465</v>
      </c>
      <c r="C25" t="s">
        <v>4</v>
      </c>
      <c r="F25" t="s">
        <v>4</v>
      </c>
      <c r="G25" t="s">
        <v>4</v>
      </c>
      <c r="J25" t="s">
        <v>4</v>
      </c>
      <c r="Q25" t="s">
        <v>4</v>
      </c>
    </row>
    <row r="26" spans="1:18" x14ac:dyDescent="0.25">
      <c r="A26">
        <v>25</v>
      </c>
      <c r="B26" t="s">
        <v>466</v>
      </c>
      <c r="D26" t="s">
        <v>4</v>
      </c>
      <c r="E26" t="s">
        <v>4</v>
      </c>
      <c r="M26" t="s">
        <v>4</v>
      </c>
      <c r="R26" t="s">
        <v>4</v>
      </c>
    </row>
    <row r="27" spans="1:18" x14ac:dyDescent="0.25">
      <c r="A27">
        <v>26</v>
      </c>
      <c r="B27" t="s">
        <v>467</v>
      </c>
      <c r="C27" t="s">
        <v>4</v>
      </c>
      <c r="F27" t="s">
        <v>4</v>
      </c>
      <c r="N27" t="s">
        <v>4</v>
      </c>
      <c r="Q27" t="s">
        <v>4</v>
      </c>
    </row>
    <row r="28" spans="1:18" x14ac:dyDescent="0.25">
      <c r="A28">
        <v>27</v>
      </c>
      <c r="B28" t="s">
        <v>468</v>
      </c>
      <c r="D28" t="s">
        <v>4</v>
      </c>
      <c r="E28" t="s">
        <v>4</v>
      </c>
      <c r="N28" t="s">
        <v>4</v>
      </c>
      <c r="R28" t="s">
        <v>4</v>
      </c>
    </row>
    <row r="29" spans="1:18" x14ac:dyDescent="0.25">
      <c r="A29">
        <v>28</v>
      </c>
      <c r="B29" t="s">
        <v>469</v>
      </c>
      <c r="C29" t="s">
        <v>4</v>
      </c>
      <c r="F29" t="s">
        <v>4</v>
      </c>
      <c r="I29" t="s">
        <v>4</v>
      </c>
      <c r="P29" t="s">
        <v>4</v>
      </c>
    </row>
    <row r="30" spans="1:18" x14ac:dyDescent="0.25">
      <c r="A30">
        <v>29</v>
      </c>
      <c r="B30" t="s">
        <v>470</v>
      </c>
      <c r="C30" t="s">
        <v>4</v>
      </c>
      <c r="F30" t="s">
        <v>4</v>
      </c>
      <c r="I30" t="s">
        <v>4</v>
      </c>
      <c r="P30" t="s">
        <v>4</v>
      </c>
    </row>
    <row r="31" spans="1:18" x14ac:dyDescent="0.25">
      <c r="A31">
        <v>30</v>
      </c>
      <c r="B31" t="s">
        <v>471</v>
      </c>
      <c r="D31" t="s">
        <v>4</v>
      </c>
      <c r="E31" t="s">
        <v>4</v>
      </c>
      <c r="N31" t="s">
        <v>4</v>
      </c>
      <c r="R31" t="s">
        <v>4</v>
      </c>
    </row>
    <row r="32" spans="1:18" x14ac:dyDescent="0.25">
      <c r="A32">
        <v>31</v>
      </c>
      <c r="B32" t="s">
        <v>472</v>
      </c>
      <c r="C32" t="s">
        <v>4</v>
      </c>
      <c r="F32" t="s">
        <v>4</v>
      </c>
      <c r="J32" t="s">
        <v>4</v>
      </c>
      <c r="M32" t="s">
        <v>4</v>
      </c>
      <c r="Q32" t="s">
        <v>4</v>
      </c>
    </row>
    <row r="33" spans="1:18" x14ac:dyDescent="0.25">
      <c r="A33">
        <v>32</v>
      </c>
      <c r="B33" t="s">
        <v>473</v>
      </c>
      <c r="C33" t="s">
        <v>4</v>
      </c>
      <c r="F33" t="s">
        <v>4</v>
      </c>
      <c r="G33" t="s">
        <v>4</v>
      </c>
      <c r="J33" t="s">
        <v>4</v>
      </c>
      <c r="Q33" t="s">
        <v>4</v>
      </c>
    </row>
    <row r="34" spans="1:18" x14ac:dyDescent="0.25">
      <c r="A34">
        <v>33</v>
      </c>
      <c r="B34" t="s">
        <v>474</v>
      </c>
      <c r="C34" t="s">
        <v>4</v>
      </c>
      <c r="F34" t="s">
        <v>4</v>
      </c>
      <c r="G34" t="s">
        <v>4</v>
      </c>
      <c r="J34" t="s">
        <v>4</v>
      </c>
      <c r="P34" t="s">
        <v>4</v>
      </c>
    </row>
    <row r="35" spans="1:18" x14ac:dyDescent="0.25">
      <c r="A35">
        <v>34</v>
      </c>
      <c r="B35" t="s">
        <v>475</v>
      </c>
      <c r="C35" t="s">
        <v>4</v>
      </c>
      <c r="F35" t="s">
        <v>4</v>
      </c>
      <c r="J35" t="s">
        <v>4</v>
      </c>
      <c r="Q35" t="s">
        <v>4</v>
      </c>
    </row>
    <row r="36" spans="1:18" x14ac:dyDescent="0.25">
      <c r="A36">
        <v>35</v>
      </c>
      <c r="B36" t="s">
        <v>476</v>
      </c>
      <c r="D36" t="s">
        <v>130</v>
      </c>
      <c r="E36" t="s">
        <v>130</v>
      </c>
      <c r="N36" t="s">
        <v>130</v>
      </c>
      <c r="Q36" t="s">
        <v>130</v>
      </c>
    </row>
    <row r="37" spans="1:18" x14ac:dyDescent="0.25">
      <c r="A37">
        <v>36</v>
      </c>
      <c r="B37" t="s">
        <v>477</v>
      </c>
      <c r="C37" t="s">
        <v>130</v>
      </c>
      <c r="F37" t="s">
        <v>130</v>
      </c>
      <c r="G37" t="s">
        <v>130</v>
      </c>
      <c r="J37" t="s">
        <v>130</v>
      </c>
      <c r="P37" t="s">
        <v>130</v>
      </c>
    </row>
    <row r="38" spans="1:18" x14ac:dyDescent="0.25">
      <c r="A38">
        <v>37</v>
      </c>
      <c r="B38" t="s">
        <v>478</v>
      </c>
      <c r="C38" t="s">
        <v>130</v>
      </c>
      <c r="F38" t="s">
        <v>130</v>
      </c>
      <c r="M38" t="s">
        <v>130</v>
      </c>
      <c r="P38" t="s">
        <v>130</v>
      </c>
    </row>
    <row r="39" spans="1:18" x14ac:dyDescent="0.25">
      <c r="A39">
        <v>38</v>
      </c>
      <c r="B39" t="s">
        <v>479</v>
      </c>
      <c r="C39" t="s">
        <v>130</v>
      </c>
      <c r="F39" t="s">
        <v>130</v>
      </c>
      <c r="G39" t="s">
        <v>130</v>
      </c>
      <c r="Q39" t="s">
        <v>130</v>
      </c>
    </row>
    <row r="40" spans="1:18" x14ac:dyDescent="0.25">
      <c r="A40">
        <v>39</v>
      </c>
      <c r="B40" t="s">
        <v>480</v>
      </c>
      <c r="C40" t="s">
        <v>4</v>
      </c>
      <c r="F40" t="s">
        <v>4</v>
      </c>
      <c r="J40" t="s">
        <v>4</v>
      </c>
      <c r="K40" t="s">
        <v>4</v>
      </c>
      <c r="Q40" t="s">
        <v>4</v>
      </c>
    </row>
    <row r="41" spans="1:18" x14ac:dyDescent="0.25">
      <c r="A41">
        <v>40</v>
      </c>
      <c r="B41" t="s">
        <v>481</v>
      </c>
      <c r="C41" t="s">
        <v>4</v>
      </c>
      <c r="F41" t="s">
        <v>4</v>
      </c>
      <c r="J41" t="s">
        <v>4</v>
      </c>
      <c r="R41" t="s">
        <v>4</v>
      </c>
    </row>
    <row r="42" spans="1:18" x14ac:dyDescent="0.25">
      <c r="A42">
        <v>41</v>
      </c>
      <c r="B42" t="s">
        <v>482</v>
      </c>
      <c r="C42" t="s">
        <v>4</v>
      </c>
      <c r="F42" t="s">
        <v>4</v>
      </c>
      <c r="G42" t="s">
        <v>4</v>
      </c>
      <c r="R42" t="s">
        <v>4</v>
      </c>
    </row>
    <row r="43" spans="1:18" x14ac:dyDescent="0.25">
      <c r="A43">
        <v>42</v>
      </c>
      <c r="B43" t="s">
        <v>483</v>
      </c>
      <c r="D43" t="s">
        <v>4</v>
      </c>
      <c r="E43" t="s">
        <v>4</v>
      </c>
      <c r="N43" t="s">
        <v>4</v>
      </c>
    </row>
    <row r="44" spans="1:18" x14ac:dyDescent="0.25">
      <c r="A44">
        <v>43</v>
      </c>
      <c r="B44" t="s">
        <v>484</v>
      </c>
      <c r="C44" t="s">
        <v>4</v>
      </c>
      <c r="F44" t="s">
        <v>4</v>
      </c>
      <c r="I44" t="s">
        <v>4</v>
      </c>
      <c r="P44" t="s">
        <v>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D1"/>
  <sheetViews>
    <sheetView workbookViewId="0"/>
  </sheetViews>
  <sheetFormatPr baseColWidth="10" defaultRowHeight="15" x14ac:dyDescent="0.25"/>
  <sheetData>
    <row r="1" spans="1:4" x14ac:dyDescent="0.25">
      <c r="A1" t="s">
        <v>1086</v>
      </c>
      <c r="B1" t="s">
        <v>1087</v>
      </c>
      <c r="C1" t="s">
        <v>1088</v>
      </c>
      <c r="D1" t="s">
        <v>1089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D1027"/>
  <sheetViews>
    <sheetView workbookViewId="0">
      <selection activeCell="I16" sqref="I16"/>
    </sheetView>
  </sheetViews>
  <sheetFormatPr baseColWidth="10" defaultRowHeight="15" x14ac:dyDescent="0.25"/>
  <sheetData>
    <row r="1" spans="1:4" x14ac:dyDescent="0.25">
      <c r="A1" t="s">
        <v>1095</v>
      </c>
      <c r="B1" t="s">
        <v>1093</v>
      </c>
      <c r="C1" t="s">
        <v>1096</v>
      </c>
      <c r="D1" t="s">
        <v>1094</v>
      </c>
    </row>
    <row r="2" spans="1:4" x14ac:dyDescent="0.25">
      <c r="A2">
        <v>1</v>
      </c>
      <c r="B2" t="s">
        <v>1067</v>
      </c>
      <c r="C2">
        <v>4</v>
      </c>
      <c r="D2" t="s">
        <v>1071</v>
      </c>
    </row>
    <row r="3" spans="1:4" x14ac:dyDescent="0.25">
      <c r="A3">
        <v>1</v>
      </c>
      <c r="B3" t="s">
        <v>1067</v>
      </c>
      <c r="C3">
        <v>11</v>
      </c>
      <c r="D3" t="s">
        <v>1075</v>
      </c>
    </row>
    <row r="4" spans="1:4" x14ac:dyDescent="0.25">
      <c r="A4">
        <v>1</v>
      </c>
      <c r="B4" t="s">
        <v>1067</v>
      </c>
      <c r="C4">
        <v>17</v>
      </c>
      <c r="D4" t="s">
        <v>1081</v>
      </c>
    </row>
    <row r="5" spans="1:4" x14ac:dyDescent="0.25">
      <c r="A5">
        <v>1</v>
      </c>
      <c r="B5" t="s">
        <v>1067</v>
      </c>
      <c r="C5">
        <v>26</v>
      </c>
      <c r="D5" t="s">
        <v>467</v>
      </c>
    </row>
    <row r="6" spans="1:4" x14ac:dyDescent="0.25">
      <c r="A6">
        <v>1</v>
      </c>
      <c r="B6" t="s">
        <v>1067</v>
      </c>
      <c r="C6">
        <v>28</v>
      </c>
      <c r="D6" t="s">
        <v>469</v>
      </c>
    </row>
    <row r="7" spans="1:4" x14ac:dyDescent="0.25">
      <c r="A7">
        <v>1</v>
      </c>
      <c r="B7" t="s">
        <v>1067</v>
      </c>
      <c r="C7">
        <v>29</v>
      </c>
      <c r="D7" t="s">
        <v>470</v>
      </c>
    </row>
    <row r="8" spans="1:4" x14ac:dyDescent="0.25">
      <c r="A8">
        <v>1</v>
      </c>
      <c r="B8" t="s">
        <v>1067</v>
      </c>
      <c r="C8">
        <v>31</v>
      </c>
      <c r="D8" t="s">
        <v>472</v>
      </c>
    </row>
    <row r="9" spans="1:4" x14ac:dyDescent="0.25">
      <c r="A9">
        <v>1</v>
      </c>
      <c r="B9" t="s">
        <v>1067</v>
      </c>
      <c r="C9">
        <v>34</v>
      </c>
      <c r="D9" t="s">
        <v>475</v>
      </c>
    </row>
    <row r="10" spans="1:4" x14ac:dyDescent="0.25">
      <c r="A10">
        <v>1</v>
      </c>
      <c r="B10" t="s">
        <v>1067</v>
      </c>
      <c r="C10">
        <v>37</v>
      </c>
      <c r="D10" t="s">
        <v>478</v>
      </c>
    </row>
    <row r="11" spans="1:4" x14ac:dyDescent="0.25">
      <c r="A11">
        <v>1</v>
      </c>
      <c r="B11" t="s">
        <v>1067</v>
      </c>
      <c r="C11">
        <v>40</v>
      </c>
      <c r="D11" t="s">
        <v>481</v>
      </c>
    </row>
    <row r="12" spans="1:4" x14ac:dyDescent="0.25">
      <c r="A12">
        <v>1</v>
      </c>
      <c r="B12" t="s">
        <v>1067</v>
      </c>
      <c r="C12">
        <v>43</v>
      </c>
      <c r="D12" t="s">
        <v>484</v>
      </c>
    </row>
    <row r="13" spans="1:4" x14ac:dyDescent="0.25">
      <c r="A13">
        <v>2</v>
      </c>
      <c r="B13" t="s">
        <v>1069</v>
      </c>
      <c r="C13">
        <v>4</v>
      </c>
      <c r="D13" t="s">
        <v>1071</v>
      </c>
    </row>
    <row r="14" spans="1:4" x14ac:dyDescent="0.25">
      <c r="A14">
        <v>2</v>
      </c>
      <c r="B14" t="s">
        <v>1069</v>
      </c>
      <c r="C14">
        <v>11</v>
      </c>
      <c r="D14" t="s">
        <v>1075</v>
      </c>
    </row>
    <row r="15" spans="1:4" x14ac:dyDescent="0.25">
      <c r="A15">
        <v>2</v>
      </c>
      <c r="B15" t="s">
        <v>1069</v>
      </c>
      <c r="C15">
        <v>17</v>
      </c>
      <c r="D15" t="s">
        <v>1081</v>
      </c>
    </row>
    <row r="16" spans="1:4" x14ac:dyDescent="0.25">
      <c r="A16">
        <v>2</v>
      </c>
      <c r="B16" t="s">
        <v>1069</v>
      </c>
      <c r="C16">
        <v>26</v>
      </c>
      <c r="D16" t="s">
        <v>467</v>
      </c>
    </row>
    <row r="17" spans="1:4" x14ac:dyDescent="0.25">
      <c r="A17">
        <v>2</v>
      </c>
      <c r="B17" t="s">
        <v>1069</v>
      </c>
      <c r="C17">
        <v>28</v>
      </c>
      <c r="D17" t="s">
        <v>469</v>
      </c>
    </row>
    <row r="18" spans="1:4" x14ac:dyDescent="0.25">
      <c r="A18">
        <v>2</v>
      </c>
      <c r="B18" t="s">
        <v>1069</v>
      </c>
      <c r="C18">
        <v>29</v>
      </c>
      <c r="D18" t="s">
        <v>470</v>
      </c>
    </row>
    <row r="19" spans="1:4" x14ac:dyDescent="0.25">
      <c r="A19">
        <v>2</v>
      </c>
      <c r="B19" t="s">
        <v>1069</v>
      </c>
      <c r="C19">
        <v>31</v>
      </c>
      <c r="D19" t="s">
        <v>472</v>
      </c>
    </row>
    <row r="20" spans="1:4" x14ac:dyDescent="0.25">
      <c r="A20">
        <v>2</v>
      </c>
      <c r="B20" t="s">
        <v>1069</v>
      </c>
      <c r="C20">
        <v>34</v>
      </c>
      <c r="D20" t="s">
        <v>475</v>
      </c>
    </row>
    <row r="21" spans="1:4" x14ac:dyDescent="0.25">
      <c r="A21">
        <v>2</v>
      </c>
      <c r="B21" t="s">
        <v>1069</v>
      </c>
      <c r="C21">
        <v>37</v>
      </c>
      <c r="D21" t="s">
        <v>478</v>
      </c>
    </row>
    <row r="22" spans="1:4" x14ac:dyDescent="0.25">
      <c r="A22">
        <v>2</v>
      </c>
      <c r="B22" t="s">
        <v>1069</v>
      </c>
      <c r="C22">
        <v>40</v>
      </c>
      <c r="D22" t="s">
        <v>481</v>
      </c>
    </row>
    <row r="23" spans="1:4" x14ac:dyDescent="0.25">
      <c r="A23">
        <v>2</v>
      </c>
      <c r="B23" t="s">
        <v>1069</v>
      </c>
      <c r="C23">
        <v>43</v>
      </c>
      <c r="D23" t="s">
        <v>484</v>
      </c>
    </row>
    <row r="24" spans="1:4" x14ac:dyDescent="0.25">
      <c r="A24">
        <v>3</v>
      </c>
      <c r="B24" t="s">
        <v>1070</v>
      </c>
      <c r="C24">
        <v>4</v>
      </c>
      <c r="D24" t="s">
        <v>1071</v>
      </c>
    </row>
    <row r="25" spans="1:4" x14ac:dyDescent="0.25">
      <c r="A25">
        <v>3</v>
      </c>
      <c r="B25" t="s">
        <v>1070</v>
      </c>
      <c r="C25">
        <v>5</v>
      </c>
      <c r="D25" t="s">
        <v>460</v>
      </c>
    </row>
    <row r="26" spans="1:4" x14ac:dyDescent="0.25">
      <c r="A26">
        <v>3</v>
      </c>
      <c r="B26" t="s">
        <v>1070</v>
      </c>
      <c r="C26">
        <v>6</v>
      </c>
      <c r="D26" t="s">
        <v>461</v>
      </c>
    </row>
    <row r="27" spans="1:4" x14ac:dyDescent="0.25">
      <c r="A27">
        <v>3</v>
      </c>
      <c r="B27" t="s">
        <v>1070</v>
      </c>
      <c r="C27">
        <v>8</v>
      </c>
      <c r="D27" t="s">
        <v>1072</v>
      </c>
    </row>
    <row r="28" spans="1:4" x14ac:dyDescent="0.25">
      <c r="A28">
        <v>3</v>
      </c>
      <c r="B28" t="s">
        <v>1070</v>
      </c>
      <c r="C28">
        <v>9</v>
      </c>
      <c r="D28" t="s">
        <v>1073</v>
      </c>
    </row>
    <row r="29" spans="1:4" x14ac:dyDescent="0.25">
      <c r="A29">
        <v>3</v>
      </c>
      <c r="B29" t="s">
        <v>1070</v>
      </c>
      <c r="C29">
        <v>10</v>
      </c>
      <c r="D29" t="s">
        <v>1074</v>
      </c>
    </row>
    <row r="30" spans="1:4" x14ac:dyDescent="0.25">
      <c r="A30">
        <v>3</v>
      </c>
      <c r="B30" t="s">
        <v>1070</v>
      </c>
      <c r="C30">
        <v>11</v>
      </c>
      <c r="D30" t="s">
        <v>1075</v>
      </c>
    </row>
    <row r="31" spans="1:4" x14ac:dyDescent="0.25">
      <c r="A31">
        <v>3</v>
      </c>
      <c r="B31" t="s">
        <v>1070</v>
      </c>
      <c r="C31">
        <v>12</v>
      </c>
      <c r="D31" t="s">
        <v>1076</v>
      </c>
    </row>
    <row r="32" spans="1:4" x14ac:dyDescent="0.25">
      <c r="A32">
        <v>3</v>
      </c>
      <c r="B32" t="s">
        <v>1070</v>
      </c>
      <c r="C32">
        <v>13</v>
      </c>
      <c r="D32" t="s">
        <v>1077</v>
      </c>
    </row>
    <row r="33" spans="1:4" x14ac:dyDescent="0.25">
      <c r="A33">
        <v>3</v>
      </c>
      <c r="B33" t="s">
        <v>1070</v>
      </c>
      <c r="C33">
        <v>17</v>
      </c>
      <c r="D33" t="s">
        <v>1081</v>
      </c>
    </row>
    <row r="34" spans="1:4" x14ac:dyDescent="0.25">
      <c r="A34">
        <v>3</v>
      </c>
      <c r="B34" t="s">
        <v>1070</v>
      </c>
      <c r="C34">
        <v>18</v>
      </c>
      <c r="D34" t="s">
        <v>1082</v>
      </c>
    </row>
    <row r="35" spans="1:4" x14ac:dyDescent="0.25">
      <c r="A35">
        <v>3</v>
      </c>
      <c r="B35" t="s">
        <v>1070</v>
      </c>
      <c r="C35">
        <v>19</v>
      </c>
      <c r="D35" t="s">
        <v>1083</v>
      </c>
    </row>
    <row r="36" spans="1:4" x14ac:dyDescent="0.25">
      <c r="A36">
        <v>3</v>
      </c>
      <c r="B36" t="s">
        <v>1070</v>
      </c>
      <c r="C36">
        <v>22</v>
      </c>
      <c r="D36" t="s">
        <v>463</v>
      </c>
    </row>
    <row r="37" spans="1:4" x14ac:dyDescent="0.25">
      <c r="A37">
        <v>3</v>
      </c>
      <c r="B37" t="s">
        <v>1070</v>
      </c>
      <c r="C37">
        <v>23</v>
      </c>
      <c r="D37" t="s">
        <v>464</v>
      </c>
    </row>
    <row r="38" spans="1:4" x14ac:dyDescent="0.25">
      <c r="A38">
        <v>3</v>
      </c>
      <c r="B38" t="s">
        <v>1070</v>
      </c>
      <c r="C38">
        <v>24</v>
      </c>
      <c r="D38" t="s">
        <v>465</v>
      </c>
    </row>
    <row r="39" spans="1:4" x14ac:dyDescent="0.25">
      <c r="A39">
        <v>3</v>
      </c>
      <c r="B39" t="s">
        <v>1070</v>
      </c>
      <c r="C39">
        <v>28</v>
      </c>
      <c r="D39" t="s">
        <v>469</v>
      </c>
    </row>
    <row r="40" spans="1:4" x14ac:dyDescent="0.25">
      <c r="A40">
        <v>3</v>
      </c>
      <c r="B40" t="s">
        <v>1070</v>
      </c>
      <c r="C40">
        <v>29</v>
      </c>
      <c r="D40" t="s">
        <v>470</v>
      </c>
    </row>
    <row r="41" spans="1:4" x14ac:dyDescent="0.25">
      <c r="A41">
        <v>3</v>
      </c>
      <c r="B41" t="s">
        <v>1070</v>
      </c>
      <c r="C41">
        <v>31</v>
      </c>
      <c r="D41" t="s">
        <v>472</v>
      </c>
    </row>
    <row r="42" spans="1:4" x14ac:dyDescent="0.25">
      <c r="A42">
        <v>3</v>
      </c>
      <c r="B42" t="s">
        <v>1070</v>
      </c>
      <c r="C42">
        <v>32</v>
      </c>
      <c r="D42" t="s">
        <v>473</v>
      </c>
    </row>
    <row r="43" spans="1:4" x14ac:dyDescent="0.25">
      <c r="A43">
        <v>3</v>
      </c>
      <c r="B43" t="s">
        <v>1070</v>
      </c>
      <c r="C43">
        <v>33</v>
      </c>
      <c r="D43" t="s">
        <v>474</v>
      </c>
    </row>
    <row r="44" spans="1:4" x14ac:dyDescent="0.25">
      <c r="A44">
        <v>3</v>
      </c>
      <c r="B44" t="s">
        <v>1070</v>
      </c>
      <c r="C44">
        <v>34</v>
      </c>
      <c r="D44" t="s">
        <v>475</v>
      </c>
    </row>
    <row r="45" spans="1:4" x14ac:dyDescent="0.25">
      <c r="A45">
        <v>3</v>
      </c>
      <c r="B45" t="s">
        <v>1070</v>
      </c>
      <c r="C45">
        <v>36</v>
      </c>
      <c r="D45" t="s">
        <v>477</v>
      </c>
    </row>
    <row r="46" spans="1:4" x14ac:dyDescent="0.25">
      <c r="A46">
        <v>3</v>
      </c>
      <c r="B46" t="s">
        <v>1070</v>
      </c>
      <c r="C46">
        <v>37</v>
      </c>
      <c r="D46" t="s">
        <v>478</v>
      </c>
    </row>
    <row r="47" spans="1:4" x14ac:dyDescent="0.25">
      <c r="A47">
        <v>3</v>
      </c>
      <c r="B47" t="s">
        <v>1070</v>
      </c>
      <c r="C47">
        <v>38</v>
      </c>
      <c r="D47" t="s">
        <v>479</v>
      </c>
    </row>
    <row r="48" spans="1:4" x14ac:dyDescent="0.25">
      <c r="A48">
        <v>3</v>
      </c>
      <c r="B48" t="s">
        <v>1070</v>
      </c>
      <c r="C48">
        <v>39</v>
      </c>
      <c r="D48" t="s">
        <v>480</v>
      </c>
    </row>
    <row r="49" spans="1:4" x14ac:dyDescent="0.25">
      <c r="A49">
        <v>3</v>
      </c>
      <c r="B49" t="s">
        <v>1070</v>
      </c>
      <c r="C49">
        <v>40</v>
      </c>
      <c r="D49" t="s">
        <v>481</v>
      </c>
    </row>
    <row r="50" spans="1:4" x14ac:dyDescent="0.25">
      <c r="A50">
        <v>3</v>
      </c>
      <c r="B50" t="s">
        <v>1070</v>
      </c>
      <c r="C50">
        <v>41</v>
      </c>
      <c r="D50" t="s">
        <v>482</v>
      </c>
    </row>
    <row r="51" spans="1:4" x14ac:dyDescent="0.25">
      <c r="A51">
        <v>3</v>
      </c>
      <c r="B51" t="s">
        <v>1070</v>
      </c>
      <c r="C51">
        <v>43</v>
      </c>
      <c r="D51" t="s">
        <v>484</v>
      </c>
    </row>
    <row r="52" spans="1:4" x14ac:dyDescent="0.25">
      <c r="A52">
        <v>4</v>
      </c>
      <c r="B52" t="s">
        <v>1071</v>
      </c>
      <c r="C52">
        <v>1</v>
      </c>
      <c r="D52" t="s">
        <v>1067</v>
      </c>
    </row>
    <row r="53" spans="1:4" x14ac:dyDescent="0.25">
      <c r="A53">
        <v>4</v>
      </c>
      <c r="B53" t="s">
        <v>1071</v>
      </c>
      <c r="C53">
        <v>2</v>
      </c>
      <c r="D53" t="s">
        <v>1069</v>
      </c>
    </row>
    <row r="54" spans="1:4" x14ac:dyDescent="0.25">
      <c r="A54">
        <v>4</v>
      </c>
      <c r="B54" t="s">
        <v>1071</v>
      </c>
      <c r="C54">
        <v>3</v>
      </c>
      <c r="D54" t="s">
        <v>1070</v>
      </c>
    </row>
    <row r="55" spans="1:4" x14ac:dyDescent="0.25">
      <c r="A55">
        <v>4</v>
      </c>
      <c r="B55" t="s">
        <v>1071</v>
      </c>
      <c r="C55">
        <v>5</v>
      </c>
      <c r="D55" t="s">
        <v>460</v>
      </c>
    </row>
    <row r="56" spans="1:4" x14ac:dyDescent="0.25">
      <c r="A56">
        <v>4</v>
      </c>
      <c r="B56" t="s">
        <v>1071</v>
      </c>
      <c r="C56">
        <v>6</v>
      </c>
      <c r="D56" t="s">
        <v>461</v>
      </c>
    </row>
    <row r="57" spans="1:4" x14ac:dyDescent="0.25">
      <c r="A57">
        <v>4</v>
      </c>
      <c r="B57" t="s">
        <v>1071</v>
      </c>
      <c r="C57">
        <v>7</v>
      </c>
      <c r="D57" t="s">
        <v>462</v>
      </c>
    </row>
    <row r="58" spans="1:4" x14ac:dyDescent="0.25">
      <c r="A58">
        <v>4</v>
      </c>
      <c r="B58" t="s">
        <v>1071</v>
      </c>
      <c r="C58">
        <v>8</v>
      </c>
      <c r="D58" t="s">
        <v>1072</v>
      </c>
    </row>
    <row r="59" spans="1:4" x14ac:dyDescent="0.25">
      <c r="A59">
        <v>4</v>
      </c>
      <c r="B59" t="s">
        <v>1071</v>
      </c>
      <c r="C59">
        <v>9</v>
      </c>
      <c r="D59" t="s">
        <v>1073</v>
      </c>
    </row>
    <row r="60" spans="1:4" x14ac:dyDescent="0.25">
      <c r="A60">
        <v>4</v>
      </c>
      <c r="B60" t="s">
        <v>1071</v>
      </c>
      <c r="C60">
        <v>10</v>
      </c>
      <c r="D60" t="s">
        <v>1074</v>
      </c>
    </row>
    <row r="61" spans="1:4" x14ac:dyDescent="0.25">
      <c r="A61">
        <v>4</v>
      </c>
      <c r="B61" t="s">
        <v>1071</v>
      </c>
      <c r="C61">
        <v>11</v>
      </c>
      <c r="D61" t="s">
        <v>1075</v>
      </c>
    </row>
    <row r="62" spans="1:4" x14ac:dyDescent="0.25">
      <c r="A62">
        <v>4</v>
      </c>
      <c r="B62" t="s">
        <v>1071</v>
      </c>
      <c r="C62">
        <v>12</v>
      </c>
      <c r="D62" t="s">
        <v>1076</v>
      </c>
    </row>
    <row r="63" spans="1:4" x14ac:dyDescent="0.25">
      <c r="A63">
        <v>4</v>
      </c>
      <c r="B63" t="s">
        <v>1071</v>
      </c>
      <c r="C63">
        <v>13</v>
      </c>
      <c r="D63" t="s">
        <v>1077</v>
      </c>
    </row>
    <row r="64" spans="1:4" x14ac:dyDescent="0.25">
      <c r="A64">
        <v>4</v>
      </c>
      <c r="B64" t="s">
        <v>1071</v>
      </c>
      <c r="C64">
        <v>14</v>
      </c>
      <c r="D64" t="s">
        <v>1078</v>
      </c>
    </row>
    <row r="65" spans="1:4" x14ac:dyDescent="0.25">
      <c r="A65">
        <v>4</v>
      </c>
      <c r="B65" t="s">
        <v>1071</v>
      </c>
      <c r="C65">
        <v>15</v>
      </c>
      <c r="D65" t="s">
        <v>1079</v>
      </c>
    </row>
    <row r="66" spans="1:4" x14ac:dyDescent="0.25">
      <c r="A66">
        <v>4</v>
      </c>
      <c r="B66" t="s">
        <v>1071</v>
      </c>
      <c r="C66">
        <v>16</v>
      </c>
      <c r="D66" t="s">
        <v>1080</v>
      </c>
    </row>
    <row r="67" spans="1:4" x14ac:dyDescent="0.25">
      <c r="A67">
        <v>4</v>
      </c>
      <c r="B67" t="s">
        <v>1071</v>
      </c>
      <c r="C67">
        <v>18</v>
      </c>
      <c r="D67" t="s">
        <v>1082</v>
      </c>
    </row>
    <row r="68" spans="1:4" x14ac:dyDescent="0.25">
      <c r="A68">
        <v>4</v>
      </c>
      <c r="B68" t="s">
        <v>1071</v>
      </c>
      <c r="C68">
        <v>19</v>
      </c>
      <c r="D68" t="s">
        <v>1083</v>
      </c>
    </row>
    <row r="69" spans="1:4" x14ac:dyDescent="0.25">
      <c r="A69">
        <v>4</v>
      </c>
      <c r="B69" t="s">
        <v>1071</v>
      </c>
      <c r="C69">
        <v>20</v>
      </c>
      <c r="D69" t="s">
        <v>1084</v>
      </c>
    </row>
    <row r="70" spans="1:4" x14ac:dyDescent="0.25">
      <c r="A70">
        <v>4</v>
      </c>
      <c r="B70" t="s">
        <v>1071</v>
      </c>
      <c r="C70">
        <v>21</v>
      </c>
      <c r="D70" t="s">
        <v>1085</v>
      </c>
    </row>
    <row r="71" spans="1:4" x14ac:dyDescent="0.25">
      <c r="A71">
        <v>4</v>
      </c>
      <c r="B71" t="s">
        <v>1071</v>
      </c>
      <c r="C71">
        <v>22</v>
      </c>
      <c r="D71" t="s">
        <v>463</v>
      </c>
    </row>
    <row r="72" spans="1:4" x14ac:dyDescent="0.25">
      <c r="A72">
        <v>4</v>
      </c>
      <c r="B72" t="s">
        <v>1071</v>
      </c>
      <c r="C72">
        <v>23</v>
      </c>
      <c r="D72" t="s">
        <v>464</v>
      </c>
    </row>
    <row r="73" spans="1:4" x14ac:dyDescent="0.25">
      <c r="A73">
        <v>4</v>
      </c>
      <c r="B73" t="s">
        <v>1071</v>
      </c>
      <c r="C73">
        <v>24</v>
      </c>
      <c r="D73" t="s">
        <v>465</v>
      </c>
    </row>
    <row r="74" spans="1:4" x14ac:dyDescent="0.25">
      <c r="A74">
        <v>4</v>
      </c>
      <c r="B74" t="s">
        <v>1071</v>
      </c>
      <c r="C74">
        <v>25</v>
      </c>
      <c r="D74" t="s">
        <v>466</v>
      </c>
    </row>
    <row r="75" spans="1:4" x14ac:dyDescent="0.25">
      <c r="A75">
        <v>4</v>
      </c>
      <c r="B75" t="s">
        <v>1071</v>
      </c>
      <c r="C75">
        <v>26</v>
      </c>
      <c r="D75" t="s">
        <v>467</v>
      </c>
    </row>
    <row r="76" spans="1:4" x14ac:dyDescent="0.25">
      <c r="A76">
        <v>4</v>
      </c>
      <c r="B76" t="s">
        <v>1071</v>
      </c>
      <c r="C76">
        <v>27</v>
      </c>
      <c r="D76" t="s">
        <v>468</v>
      </c>
    </row>
    <row r="77" spans="1:4" x14ac:dyDescent="0.25">
      <c r="A77">
        <v>4</v>
      </c>
      <c r="B77" t="s">
        <v>1071</v>
      </c>
      <c r="C77">
        <v>28</v>
      </c>
      <c r="D77" t="s">
        <v>469</v>
      </c>
    </row>
    <row r="78" spans="1:4" x14ac:dyDescent="0.25">
      <c r="A78">
        <v>4</v>
      </c>
      <c r="B78" t="s">
        <v>1071</v>
      </c>
      <c r="C78">
        <v>29</v>
      </c>
      <c r="D78" t="s">
        <v>470</v>
      </c>
    </row>
    <row r="79" spans="1:4" x14ac:dyDescent="0.25">
      <c r="A79">
        <v>4</v>
      </c>
      <c r="B79" t="s">
        <v>1071</v>
      </c>
      <c r="C79">
        <v>30</v>
      </c>
      <c r="D79" t="s">
        <v>471</v>
      </c>
    </row>
    <row r="80" spans="1:4" x14ac:dyDescent="0.25">
      <c r="A80">
        <v>4</v>
      </c>
      <c r="B80" t="s">
        <v>1071</v>
      </c>
      <c r="C80">
        <v>31</v>
      </c>
      <c r="D80" t="s">
        <v>472</v>
      </c>
    </row>
    <row r="81" spans="1:4" x14ac:dyDescent="0.25">
      <c r="A81">
        <v>4</v>
      </c>
      <c r="B81" t="s">
        <v>1071</v>
      </c>
      <c r="C81">
        <v>32</v>
      </c>
      <c r="D81" t="s">
        <v>473</v>
      </c>
    </row>
    <row r="82" spans="1:4" x14ac:dyDescent="0.25">
      <c r="A82">
        <v>4</v>
      </c>
      <c r="B82" t="s">
        <v>1071</v>
      </c>
      <c r="C82">
        <v>33</v>
      </c>
      <c r="D82" t="s">
        <v>474</v>
      </c>
    </row>
    <row r="83" spans="1:4" x14ac:dyDescent="0.25">
      <c r="A83">
        <v>4</v>
      </c>
      <c r="B83" t="s">
        <v>1071</v>
      </c>
      <c r="C83">
        <v>34</v>
      </c>
      <c r="D83" t="s">
        <v>475</v>
      </c>
    </row>
    <row r="84" spans="1:4" x14ac:dyDescent="0.25">
      <c r="A84">
        <v>4</v>
      </c>
      <c r="B84" t="s">
        <v>1071</v>
      </c>
      <c r="C84">
        <v>35</v>
      </c>
      <c r="D84" t="s">
        <v>476</v>
      </c>
    </row>
    <row r="85" spans="1:4" x14ac:dyDescent="0.25">
      <c r="A85">
        <v>4</v>
      </c>
      <c r="B85" t="s">
        <v>1071</v>
      </c>
      <c r="C85">
        <v>36</v>
      </c>
      <c r="D85" t="s">
        <v>477</v>
      </c>
    </row>
    <row r="86" spans="1:4" x14ac:dyDescent="0.25">
      <c r="A86">
        <v>4</v>
      </c>
      <c r="B86" t="s">
        <v>1071</v>
      </c>
      <c r="C86">
        <v>37</v>
      </c>
      <c r="D86" t="s">
        <v>478</v>
      </c>
    </row>
    <row r="87" spans="1:4" x14ac:dyDescent="0.25">
      <c r="A87">
        <v>4</v>
      </c>
      <c r="B87" t="s">
        <v>1071</v>
      </c>
      <c r="C87">
        <v>38</v>
      </c>
      <c r="D87" t="s">
        <v>479</v>
      </c>
    </row>
    <row r="88" spans="1:4" x14ac:dyDescent="0.25">
      <c r="A88">
        <v>4</v>
      </c>
      <c r="B88" t="s">
        <v>1071</v>
      </c>
      <c r="C88">
        <v>39</v>
      </c>
      <c r="D88" t="s">
        <v>480</v>
      </c>
    </row>
    <row r="89" spans="1:4" x14ac:dyDescent="0.25">
      <c r="A89">
        <v>4</v>
      </c>
      <c r="B89" t="s">
        <v>1071</v>
      </c>
      <c r="C89">
        <v>40</v>
      </c>
      <c r="D89" t="s">
        <v>481</v>
      </c>
    </row>
    <row r="90" spans="1:4" x14ac:dyDescent="0.25">
      <c r="A90">
        <v>4</v>
      </c>
      <c r="B90" t="s">
        <v>1071</v>
      </c>
      <c r="C90">
        <v>41</v>
      </c>
      <c r="D90" t="s">
        <v>482</v>
      </c>
    </row>
    <row r="91" spans="1:4" x14ac:dyDescent="0.25">
      <c r="A91">
        <v>4</v>
      </c>
      <c r="B91" t="s">
        <v>1071</v>
      </c>
      <c r="C91">
        <v>42</v>
      </c>
      <c r="D91" t="s">
        <v>483</v>
      </c>
    </row>
    <row r="92" spans="1:4" x14ac:dyDescent="0.25">
      <c r="A92">
        <v>4</v>
      </c>
      <c r="B92" t="s">
        <v>1071</v>
      </c>
      <c r="C92">
        <v>43</v>
      </c>
      <c r="D92" t="s">
        <v>484</v>
      </c>
    </row>
    <row r="93" spans="1:4" x14ac:dyDescent="0.25">
      <c r="A93">
        <v>5</v>
      </c>
      <c r="B93" t="s">
        <v>460</v>
      </c>
      <c r="C93">
        <v>3</v>
      </c>
      <c r="D93" t="s">
        <v>1070</v>
      </c>
    </row>
    <row r="94" spans="1:4" x14ac:dyDescent="0.25">
      <c r="A94">
        <v>5</v>
      </c>
      <c r="B94" t="s">
        <v>460</v>
      </c>
      <c r="C94">
        <v>4</v>
      </c>
      <c r="D94" t="s">
        <v>1071</v>
      </c>
    </row>
    <row r="95" spans="1:4" x14ac:dyDescent="0.25">
      <c r="A95">
        <v>5</v>
      </c>
      <c r="B95" t="s">
        <v>460</v>
      </c>
      <c r="C95">
        <v>11</v>
      </c>
      <c r="D95" t="s">
        <v>1075</v>
      </c>
    </row>
    <row r="96" spans="1:4" x14ac:dyDescent="0.25">
      <c r="A96">
        <v>5</v>
      </c>
      <c r="B96" t="s">
        <v>460</v>
      </c>
      <c r="C96">
        <v>14</v>
      </c>
      <c r="D96" t="s">
        <v>1078</v>
      </c>
    </row>
    <row r="97" spans="1:4" x14ac:dyDescent="0.25">
      <c r="A97">
        <v>5</v>
      </c>
      <c r="B97" t="s">
        <v>460</v>
      </c>
      <c r="C97">
        <v>15</v>
      </c>
      <c r="D97" t="s">
        <v>1079</v>
      </c>
    </row>
    <row r="98" spans="1:4" x14ac:dyDescent="0.25">
      <c r="A98">
        <v>5</v>
      </c>
      <c r="B98" t="s">
        <v>460</v>
      </c>
      <c r="C98">
        <v>16</v>
      </c>
      <c r="D98" t="s">
        <v>1080</v>
      </c>
    </row>
    <row r="99" spans="1:4" x14ac:dyDescent="0.25">
      <c r="A99">
        <v>5</v>
      </c>
      <c r="B99" t="s">
        <v>460</v>
      </c>
      <c r="C99">
        <v>17</v>
      </c>
      <c r="D99" t="s">
        <v>1081</v>
      </c>
    </row>
    <row r="100" spans="1:4" x14ac:dyDescent="0.25">
      <c r="A100">
        <v>5</v>
      </c>
      <c r="B100" t="s">
        <v>460</v>
      </c>
      <c r="C100">
        <v>18</v>
      </c>
      <c r="D100" t="s">
        <v>1082</v>
      </c>
    </row>
    <row r="101" spans="1:4" x14ac:dyDescent="0.25">
      <c r="A101">
        <v>5</v>
      </c>
      <c r="B101" t="s">
        <v>460</v>
      </c>
      <c r="C101">
        <v>20</v>
      </c>
      <c r="D101" t="s">
        <v>1084</v>
      </c>
    </row>
    <row r="102" spans="1:4" x14ac:dyDescent="0.25">
      <c r="A102">
        <v>5</v>
      </c>
      <c r="B102" t="s">
        <v>460</v>
      </c>
      <c r="C102">
        <v>21</v>
      </c>
      <c r="D102" t="s">
        <v>1085</v>
      </c>
    </row>
    <row r="103" spans="1:4" x14ac:dyDescent="0.25">
      <c r="A103">
        <v>5</v>
      </c>
      <c r="B103" t="s">
        <v>460</v>
      </c>
      <c r="C103">
        <v>25</v>
      </c>
      <c r="D103" t="s">
        <v>466</v>
      </c>
    </row>
    <row r="104" spans="1:4" x14ac:dyDescent="0.25">
      <c r="A104">
        <v>5</v>
      </c>
      <c r="B104" t="s">
        <v>460</v>
      </c>
      <c r="C104">
        <v>26</v>
      </c>
      <c r="D104" t="s">
        <v>467</v>
      </c>
    </row>
    <row r="105" spans="1:4" x14ac:dyDescent="0.25">
      <c r="A105">
        <v>5</v>
      </c>
      <c r="B105" t="s">
        <v>460</v>
      </c>
      <c r="C105">
        <v>27</v>
      </c>
      <c r="D105" t="s">
        <v>468</v>
      </c>
    </row>
    <row r="106" spans="1:4" x14ac:dyDescent="0.25">
      <c r="A106">
        <v>5</v>
      </c>
      <c r="B106" t="s">
        <v>460</v>
      </c>
      <c r="C106">
        <v>30</v>
      </c>
      <c r="D106" t="s">
        <v>471</v>
      </c>
    </row>
    <row r="107" spans="1:4" x14ac:dyDescent="0.25">
      <c r="A107">
        <v>5</v>
      </c>
      <c r="B107" t="s">
        <v>460</v>
      </c>
      <c r="C107">
        <v>31</v>
      </c>
      <c r="D107" t="s">
        <v>472</v>
      </c>
    </row>
    <row r="108" spans="1:4" x14ac:dyDescent="0.25">
      <c r="A108">
        <v>5</v>
      </c>
      <c r="B108" t="s">
        <v>460</v>
      </c>
      <c r="C108">
        <v>34</v>
      </c>
      <c r="D108" t="s">
        <v>475</v>
      </c>
    </row>
    <row r="109" spans="1:4" x14ac:dyDescent="0.25">
      <c r="A109">
        <v>5</v>
      </c>
      <c r="B109" t="s">
        <v>460</v>
      </c>
      <c r="C109">
        <v>35</v>
      </c>
      <c r="D109" t="s">
        <v>476</v>
      </c>
    </row>
    <row r="110" spans="1:4" x14ac:dyDescent="0.25">
      <c r="A110">
        <v>5</v>
      </c>
      <c r="B110" t="s">
        <v>460</v>
      </c>
      <c r="C110">
        <v>39</v>
      </c>
      <c r="D110" t="s">
        <v>480</v>
      </c>
    </row>
    <row r="111" spans="1:4" x14ac:dyDescent="0.25">
      <c r="A111">
        <v>5</v>
      </c>
      <c r="B111" t="s">
        <v>460</v>
      </c>
      <c r="C111">
        <v>40</v>
      </c>
      <c r="D111" t="s">
        <v>481</v>
      </c>
    </row>
    <row r="112" spans="1:4" x14ac:dyDescent="0.25">
      <c r="A112">
        <v>5</v>
      </c>
      <c r="B112" t="s">
        <v>460</v>
      </c>
      <c r="C112">
        <v>42</v>
      </c>
      <c r="D112" t="s">
        <v>483</v>
      </c>
    </row>
    <row r="113" spans="1:4" x14ac:dyDescent="0.25">
      <c r="A113">
        <v>6</v>
      </c>
      <c r="B113" t="s">
        <v>461</v>
      </c>
      <c r="C113">
        <v>3</v>
      </c>
      <c r="D113" t="s">
        <v>1070</v>
      </c>
    </row>
    <row r="114" spans="1:4" x14ac:dyDescent="0.25">
      <c r="A114">
        <v>6</v>
      </c>
      <c r="B114" t="s">
        <v>461</v>
      </c>
      <c r="C114">
        <v>4</v>
      </c>
      <c r="D114" t="s">
        <v>1071</v>
      </c>
    </row>
    <row r="115" spans="1:4" x14ac:dyDescent="0.25">
      <c r="A115">
        <v>6</v>
      </c>
      <c r="B115" t="s">
        <v>461</v>
      </c>
      <c r="C115">
        <v>11</v>
      </c>
      <c r="D115" t="s">
        <v>1075</v>
      </c>
    </row>
    <row r="116" spans="1:4" x14ac:dyDescent="0.25">
      <c r="A116">
        <v>6</v>
      </c>
      <c r="B116" t="s">
        <v>461</v>
      </c>
      <c r="C116">
        <v>14</v>
      </c>
      <c r="D116" t="s">
        <v>1078</v>
      </c>
    </row>
    <row r="117" spans="1:4" x14ac:dyDescent="0.25">
      <c r="A117">
        <v>6</v>
      </c>
      <c r="B117" t="s">
        <v>461</v>
      </c>
      <c r="C117">
        <v>15</v>
      </c>
      <c r="D117" t="s">
        <v>1079</v>
      </c>
    </row>
    <row r="118" spans="1:4" x14ac:dyDescent="0.25">
      <c r="A118">
        <v>6</v>
      </c>
      <c r="B118" t="s">
        <v>461</v>
      </c>
      <c r="C118">
        <v>16</v>
      </c>
      <c r="D118" t="s">
        <v>1080</v>
      </c>
    </row>
    <row r="119" spans="1:4" x14ac:dyDescent="0.25">
      <c r="A119">
        <v>6</v>
      </c>
      <c r="B119" t="s">
        <v>461</v>
      </c>
      <c r="C119">
        <v>17</v>
      </c>
      <c r="D119" t="s">
        <v>1081</v>
      </c>
    </row>
    <row r="120" spans="1:4" x14ac:dyDescent="0.25">
      <c r="A120">
        <v>6</v>
      </c>
      <c r="B120" t="s">
        <v>461</v>
      </c>
      <c r="C120">
        <v>18</v>
      </c>
      <c r="D120" t="s">
        <v>1082</v>
      </c>
    </row>
    <row r="121" spans="1:4" x14ac:dyDescent="0.25">
      <c r="A121">
        <v>6</v>
      </c>
      <c r="B121" t="s">
        <v>461</v>
      </c>
      <c r="C121">
        <v>20</v>
      </c>
      <c r="D121" t="s">
        <v>1084</v>
      </c>
    </row>
    <row r="122" spans="1:4" x14ac:dyDescent="0.25">
      <c r="A122">
        <v>6</v>
      </c>
      <c r="B122" t="s">
        <v>461</v>
      </c>
      <c r="C122">
        <v>21</v>
      </c>
      <c r="D122" t="s">
        <v>1085</v>
      </c>
    </row>
    <row r="123" spans="1:4" x14ac:dyDescent="0.25">
      <c r="A123">
        <v>6</v>
      </c>
      <c r="B123" t="s">
        <v>461</v>
      </c>
      <c r="C123">
        <v>25</v>
      </c>
      <c r="D123" t="s">
        <v>466</v>
      </c>
    </row>
    <row r="124" spans="1:4" x14ac:dyDescent="0.25">
      <c r="A124">
        <v>6</v>
      </c>
      <c r="B124" t="s">
        <v>461</v>
      </c>
      <c r="C124">
        <v>26</v>
      </c>
      <c r="D124" t="s">
        <v>467</v>
      </c>
    </row>
    <row r="125" spans="1:4" x14ac:dyDescent="0.25">
      <c r="A125">
        <v>6</v>
      </c>
      <c r="B125" t="s">
        <v>461</v>
      </c>
      <c r="C125">
        <v>27</v>
      </c>
      <c r="D125" t="s">
        <v>468</v>
      </c>
    </row>
    <row r="126" spans="1:4" x14ac:dyDescent="0.25">
      <c r="A126">
        <v>6</v>
      </c>
      <c r="B126" t="s">
        <v>461</v>
      </c>
      <c r="C126">
        <v>30</v>
      </c>
      <c r="D126" t="s">
        <v>471</v>
      </c>
    </row>
    <row r="127" spans="1:4" x14ac:dyDescent="0.25">
      <c r="A127">
        <v>6</v>
      </c>
      <c r="B127" t="s">
        <v>461</v>
      </c>
      <c r="C127">
        <v>31</v>
      </c>
      <c r="D127" t="s">
        <v>472</v>
      </c>
    </row>
    <row r="128" spans="1:4" x14ac:dyDescent="0.25">
      <c r="A128">
        <v>6</v>
      </c>
      <c r="B128" t="s">
        <v>461</v>
      </c>
      <c r="C128">
        <v>34</v>
      </c>
      <c r="D128" t="s">
        <v>475</v>
      </c>
    </row>
    <row r="129" spans="1:4" x14ac:dyDescent="0.25">
      <c r="A129">
        <v>6</v>
      </c>
      <c r="B129" t="s">
        <v>461</v>
      </c>
      <c r="C129">
        <v>35</v>
      </c>
      <c r="D129" t="s">
        <v>476</v>
      </c>
    </row>
    <row r="130" spans="1:4" x14ac:dyDescent="0.25">
      <c r="A130">
        <v>6</v>
      </c>
      <c r="B130" t="s">
        <v>461</v>
      </c>
      <c r="C130">
        <v>39</v>
      </c>
      <c r="D130" t="s">
        <v>480</v>
      </c>
    </row>
    <row r="131" spans="1:4" x14ac:dyDescent="0.25">
      <c r="A131">
        <v>6</v>
      </c>
      <c r="B131" t="s">
        <v>461</v>
      </c>
      <c r="C131">
        <v>40</v>
      </c>
      <c r="D131" t="s">
        <v>481</v>
      </c>
    </row>
    <row r="132" spans="1:4" x14ac:dyDescent="0.25">
      <c r="A132">
        <v>6</v>
      </c>
      <c r="B132" t="s">
        <v>461</v>
      </c>
      <c r="C132">
        <v>42</v>
      </c>
      <c r="D132" t="s">
        <v>483</v>
      </c>
    </row>
    <row r="133" spans="1:4" x14ac:dyDescent="0.25">
      <c r="A133">
        <v>7</v>
      </c>
      <c r="B133" t="s">
        <v>462</v>
      </c>
      <c r="C133">
        <v>4</v>
      </c>
      <c r="D133" t="s">
        <v>1071</v>
      </c>
    </row>
    <row r="134" spans="1:4" x14ac:dyDescent="0.25">
      <c r="A134">
        <v>7</v>
      </c>
      <c r="B134" t="s">
        <v>462</v>
      </c>
      <c r="C134">
        <v>11</v>
      </c>
      <c r="D134" t="s">
        <v>1075</v>
      </c>
    </row>
    <row r="135" spans="1:4" x14ac:dyDescent="0.25">
      <c r="A135">
        <v>7</v>
      </c>
      <c r="B135" t="s">
        <v>462</v>
      </c>
      <c r="C135">
        <v>17</v>
      </c>
      <c r="D135" t="s">
        <v>1081</v>
      </c>
    </row>
    <row r="136" spans="1:4" x14ac:dyDescent="0.25">
      <c r="A136">
        <v>7</v>
      </c>
      <c r="B136" t="s">
        <v>462</v>
      </c>
      <c r="C136">
        <v>18</v>
      </c>
      <c r="D136" t="s">
        <v>1082</v>
      </c>
    </row>
    <row r="137" spans="1:4" x14ac:dyDescent="0.25">
      <c r="A137">
        <v>7</v>
      </c>
      <c r="B137" t="s">
        <v>462</v>
      </c>
      <c r="C137">
        <v>26</v>
      </c>
      <c r="D137" t="s">
        <v>467</v>
      </c>
    </row>
    <row r="138" spans="1:4" x14ac:dyDescent="0.25">
      <c r="A138">
        <v>7</v>
      </c>
      <c r="B138" t="s">
        <v>462</v>
      </c>
      <c r="C138">
        <v>31</v>
      </c>
      <c r="D138" t="s">
        <v>472</v>
      </c>
    </row>
    <row r="139" spans="1:4" x14ac:dyDescent="0.25">
      <c r="A139">
        <v>7</v>
      </c>
      <c r="B139" t="s">
        <v>462</v>
      </c>
      <c r="C139">
        <v>34</v>
      </c>
      <c r="D139" t="s">
        <v>475</v>
      </c>
    </row>
    <row r="140" spans="1:4" x14ac:dyDescent="0.25">
      <c r="A140">
        <v>7</v>
      </c>
      <c r="B140" t="s">
        <v>462</v>
      </c>
      <c r="C140">
        <v>39</v>
      </c>
      <c r="D140" t="s">
        <v>480</v>
      </c>
    </row>
    <row r="141" spans="1:4" x14ac:dyDescent="0.25">
      <c r="A141">
        <v>7</v>
      </c>
      <c r="B141" t="s">
        <v>462</v>
      </c>
      <c r="C141">
        <v>40</v>
      </c>
      <c r="D141" t="s">
        <v>481</v>
      </c>
    </row>
    <row r="142" spans="1:4" x14ac:dyDescent="0.25">
      <c r="A142">
        <v>8</v>
      </c>
      <c r="B142" t="s">
        <v>1072</v>
      </c>
      <c r="C142">
        <v>3</v>
      </c>
      <c r="D142" t="s">
        <v>1070</v>
      </c>
    </row>
    <row r="143" spans="1:4" x14ac:dyDescent="0.25">
      <c r="A143">
        <v>8</v>
      </c>
      <c r="B143" t="s">
        <v>1072</v>
      </c>
      <c r="C143">
        <v>4</v>
      </c>
      <c r="D143" t="s">
        <v>1071</v>
      </c>
    </row>
    <row r="144" spans="1:4" x14ac:dyDescent="0.25">
      <c r="A144">
        <v>8</v>
      </c>
      <c r="B144" t="s">
        <v>1072</v>
      </c>
      <c r="C144">
        <v>11</v>
      </c>
      <c r="D144" t="s">
        <v>1075</v>
      </c>
    </row>
    <row r="145" spans="1:4" x14ac:dyDescent="0.25">
      <c r="A145">
        <v>8</v>
      </c>
      <c r="B145" t="s">
        <v>1072</v>
      </c>
      <c r="C145">
        <v>14</v>
      </c>
      <c r="D145" t="s">
        <v>1078</v>
      </c>
    </row>
    <row r="146" spans="1:4" x14ac:dyDescent="0.25">
      <c r="A146">
        <v>8</v>
      </c>
      <c r="B146" t="s">
        <v>1072</v>
      </c>
      <c r="C146">
        <v>15</v>
      </c>
      <c r="D146" t="s">
        <v>1079</v>
      </c>
    </row>
    <row r="147" spans="1:4" x14ac:dyDescent="0.25">
      <c r="A147">
        <v>8</v>
      </c>
      <c r="B147" t="s">
        <v>1072</v>
      </c>
      <c r="C147">
        <v>16</v>
      </c>
      <c r="D147" t="s">
        <v>1080</v>
      </c>
    </row>
    <row r="148" spans="1:4" x14ac:dyDescent="0.25">
      <c r="A148">
        <v>8</v>
      </c>
      <c r="B148" t="s">
        <v>1072</v>
      </c>
      <c r="C148">
        <v>17</v>
      </c>
      <c r="D148" t="s">
        <v>1081</v>
      </c>
    </row>
    <row r="149" spans="1:4" x14ac:dyDescent="0.25">
      <c r="A149">
        <v>8</v>
      </c>
      <c r="B149" t="s">
        <v>1072</v>
      </c>
      <c r="C149">
        <v>18</v>
      </c>
      <c r="D149" t="s">
        <v>1082</v>
      </c>
    </row>
    <row r="150" spans="1:4" x14ac:dyDescent="0.25">
      <c r="A150">
        <v>8</v>
      </c>
      <c r="B150" t="s">
        <v>1072</v>
      </c>
      <c r="C150">
        <v>20</v>
      </c>
      <c r="D150" t="s">
        <v>1084</v>
      </c>
    </row>
    <row r="151" spans="1:4" x14ac:dyDescent="0.25">
      <c r="A151">
        <v>8</v>
      </c>
      <c r="B151" t="s">
        <v>1072</v>
      </c>
      <c r="C151">
        <v>21</v>
      </c>
      <c r="D151" t="s">
        <v>1085</v>
      </c>
    </row>
    <row r="152" spans="1:4" x14ac:dyDescent="0.25">
      <c r="A152">
        <v>8</v>
      </c>
      <c r="B152" t="s">
        <v>1072</v>
      </c>
      <c r="C152">
        <v>25</v>
      </c>
      <c r="D152" t="s">
        <v>466</v>
      </c>
    </row>
    <row r="153" spans="1:4" x14ac:dyDescent="0.25">
      <c r="A153">
        <v>8</v>
      </c>
      <c r="B153" t="s">
        <v>1072</v>
      </c>
      <c r="C153">
        <v>26</v>
      </c>
      <c r="D153" t="s">
        <v>467</v>
      </c>
    </row>
    <row r="154" spans="1:4" x14ac:dyDescent="0.25">
      <c r="A154">
        <v>8</v>
      </c>
      <c r="B154" t="s">
        <v>1072</v>
      </c>
      <c r="C154">
        <v>27</v>
      </c>
      <c r="D154" t="s">
        <v>468</v>
      </c>
    </row>
    <row r="155" spans="1:4" x14ac:dyDescent="0.25">
      <c r="A155">
        <v>8</v>
      </c>
      <c r="B155" t="s">
        <v>1072</v>
      </c>
      <c r="C155">
        <v>28</v>
      </c>
      <c r="D155" t="s">
        <v>469</v>
      </c>
    </row>
    <row r="156" spans="1:4" x14ac:dyDescent="0.25">
      <c r="A156">
        <v>8</v>
      </c>
      <c r="B156" t="s">
        <v>1072</v>
      </c>
      <c r="C156">
        <v>29</v>
      </c>
      <c r="D156" t="s">
        <v>470</v>
      </c>
    </row>
    <row r="157" spans="1:4" x14ac:dyDescent="0.25">
      <c r="A157">
        <v>8</v>
      </c>
      <c r="B157" t="s">
        <v>1072</v>
      </c>
      <c r="C157">
        <v>30</v>
      </c>
      <c r="D157" t="s">
        <v>471</v>
      </c>
    </row>
    <row r="158" spans="1:4" x14ac:dyDescent="0.25">
      <c r="A158">
        <v>8</v>
      </c>
      <c r="B158" t="s">
        <v>1072</v>
      </c>
      <c r="C158">
        <v>31</v>
      </c>
      <c r="D158" t="s">
        <v>472</v>
      </c>
    </row>
    <row r="159" spans="1:4" x14ac:dyDescent="0.25">
      <c r="A159">
        <v>8</v>
      </c>
      <c r="B159" t="s">
        <v>1072</v>
      </c>
      <c r="C159">
        <v>34</v>
      </c>
      <c r="D159" t="s">
        <v>475</v>
      </c>
    </row>
    <row r="160" spans="1:4" x14ac:dyDescent="0.25">
      <c r="A160">
        <v>8</v>
      </c>
      <c r="B160" t="s">
        <v>1072</v>
      </c>
      <c r="C160">
        <v>35</v>
      </c>
      <c r="D160" t="s">
        <v>476</v>
      </c>
    </row>
    <row r="161" spans="1:4" x14ac:dyDescent="0.25">
      <c r="A161">
        <v>8</v>
      </c>
      <c r="B161" t="s">
        <v>1072</v>
      </c>
      <c r="C161">
        <v>37</v>
      </c>
      <c r="D161" t="s">
        <v>478</v>
      </c>
    </row>
    <row r="162" spans="1:4" x14ac:dyDescent="0.25">
      <c r="A162">
        <v>8</v>
      </c>
      <c r="B162" t="s">
        <v>1072</v>
      </c>
      <c r="C162">
        <v>39</v>
      </c>
      <c r="D162" t="s">
        <v>480</v>
      </c>
    </row>
    <row r="163" spans="1:4" x14ac:dyDescent="0.25">
      <c r="A163">
        <v>8</v>
      </c>
      <c r="B163" t="s">
        <v>1072</v>
      </c>
      <c r="C163">
        <v>40</v>
      </c>
      <c r="D163" t="s">
        <v>481</v>
      </c>
    </row>
    <row r="164" spans="1:4" x14ac:dyDescent="0.25">
      <c r="A164">
        <v>8</v>
      </c>
      <c r="B164" t="s">
        <v>1072</v>
      </c>
      <c r="C164">
        <v>42</v>
      </c>
      <c r="D164" t="s">
        <v>483</v>
      </c>
    </row>
    <row r="165" spans="1:4" x14ac:dyDescent="0.25">
      <c r="A165">
        <v>8</v>
      </c>
      <c r="B165" t="s">
        <v>1072</v>
      </c>
      <c r="C165">
        <v>43</v>
      </c>
      <c r="D165" t="s">
        <v>484</v>
      </c>
    </row>
    <row r="166" spans="1:4" x14ac:dyDescent="0.25">
      <c r="A166">
        <v>9</v>
      </c>
      <c r="B166" t="s">
        <v>1073</v>
      </c>
      <c r="C166">
        <v>3</v>
      </c>
      <c r="D166" t="s">
        <v>1070</v>
      </c>
    </row>
    <row r="167" spans="1:4" x14ac:dyDescent="0.25">
      <c r="A167">
        <v>9</v>
      </c>
      <c r="B167" t="s">
        <v>1073</v>
      </c>
      <c r="C167">
        <v>4</v>
      </c>
      <c r="D167" t="s">
        <v>1071</v>
      </c>
    </row>
    <row r="168" spans="1:4" x14ac:dyDescent="0.25">
      <c r="A168">
        <v>9</v>
      </c>
      <c r="B168" t="s">
        <v>1073</v>
      </c>
      <c r="C168">
        <v>11</v>
      </c>
      <c r="D168" t="s">
        <v>1075</v>
      </c>
    </row>
    <row r="169" spans="1:4" x14ac:dyDescent="0.25">
      <c r="A169">
        <v>9</v>
      </c>
      <c r="B169" t="s">
        <v>1073</v>
      </c>
      <c r="C169">
        <v>14</v>
      </c>
      <c r="D169" t="s">
        <v>1078</v>
      </c>
    </row>
    <row r="170" spans="1:4" x14ac:dyDescent="0.25">
      <c r="A170">
        <v>9</v>
      </c>
      <c r="B170" t="s">
        <v>1073</v>
      </c>
      <c r="C170">
        <v>15</v>
      </c>
      <c r="D170" t="s">
        <v>1079</v>
      </c>
    </row>
    <row r="171" spans="1:4" x14ac:dyDescent="0.25">
      <c r="A171">
        <v>9</v>
      </c>
      <c r="B171" t="s">
        <v>1073</v>
      </c>
      <c r="C171">
        <v>16</v>
      </c>
      <c r="D171" t="s">
        <v>1080</v>
      </c>
    </row>
    <row r="172" spans="1:4" x14ac:dyDescent="0.25">
      <c r="A172">
        <v>9</v>
      </c>
      <c r="B172" t="s">
        <v>1073</v>
      </c>
      <c r="C172">
        <v>17</v>
      </c>
      <c r="D172" t="s">
        <v>1081</v>
      </c>
    </row>
    <row r="173" spans="1:4" x14ac:dyDescent="0.25">
      <c r="A173">
        <v>9</v>
      </c>
      <c r="B173" t="s">
        <v>1073</v>
      </c>
      <c r="C173">
        <v>18</v>
      </c>
      <c r="D173" t="s">
        <v>1082</v>
      </c>
    </row>
    <row r="174" spans="1:4" x14ac:dyDescent="0.25">
      <c r="A174">
        <v>9</v>
      </c>
      <c r="B174" t="s">
        <v>1073</v>
      </c>
      <c r="C174">
        <v>20</v>
      </c>
      <c r="D174" t="s">
        <v>1084</v>
      </c>
    </row>
    <row r="175" spans="1:4" x14ac:dyDescent="0.25">
      <c r="A175">
        <v>9</v>
      </c>
      <c r="B175" t="s">
        <v>1073</v>
      </c>
      <c r="C175">
        <v>21</v>
      </c>
      <c r="D175" t="s">
        <v>1085</v>
      </c>
    </row>
    <row r="176" spans="1:4" x14ac:dyDescent="0.25">
      <c r="A176">
        <v>9</v>
      </c>
      <c r="B176" t="s">
        <v>1073</v>
      </c>
      <c r="C176">
        <v>25</v>
      </c>
      <c r="D176" t="s">
        <v>466</v>
      </c>
    </row>
    <row r="177" spans="1:4" x14ac:dyDescent="0.25">
      <c r="A177">
        <v>9</v>
      </c>
      <c r="B177" t="s">
        <v>1073</v>
      </c>
      <c r="C177">
        <v>26</v>
      </c>
      <c r="D177" t="s">
        <v>467</v>
      </c>
    </row>
    <row r="178" spans="1:4" x14ac:dyDescent="0.25">
      <c r="A178">
        <v>9</v>
      </c>
      <c r="B178" t="s">
        <v>1073</v>
      </c>
      <c r="C178">
        <v>27</v>
      </c>
      <c r="D178" t="s">
        <v>468</v>
      </c>
    </row>
    <row r="179" spans="1:4" x14ac:dyDescent="0.25">
      <c r="A179">
        <v>9</v>
      </c>
      <c r="B179" t="s">
        <v>1073</v>
      </c>
      <c r="C179">
        <v>30</v>
      </c>
      <c r="D179" t="s">
        <v>471</v>
      </c>
    </row>
    <row r="180" spans="1:4" x14ac:dyDescent="0.25">
      <c r="A180">
        <v>9</v>
      </c>
      <c r="B180" t="s">
        <v>1073</v>
      </c>
      <c r="C180">
        <v>31</v>
      </c>
      <c r="D180" t="s">
        <v>472</v>
      </c>
    </row>
    <row r="181" spans="1:4" x14ac:dyDescent="0.25">
      <c r="A181">
        <v>9</v>
      </c>
      <c r="B181" t="s">
        <v>1073</v>
      </c>
      <c r="C181">
        <v>34</v>
      </c>
      <c r="D181" t="s">
        <v>475</v>
      </c>
    </row>
    <row r="182" spans="1:4" x14ac:dyDescent="0.25">
      <c r="A182">
        <v>9</v>
      </c>
      <c r="B182" t="s">
        <v>1073</v>
      </c>
      <c r="C182">
        <v>35</v>
      </c>
      <c r="D182" t="s">
        <v>476</v>
      </c>
    </row>
    <row r="183" spans="1:4" x14ac:dyDescent="0.25">
      <c r="A183">
        <v>9</v>
      </c>
      <c r="B183" t="s">
        <v>1073</v>
      </c>
      <c r="C183">
        <v>37</v>
      </c>
      <c r="D183" t="s">
        <v>478</v>
      </c>
    </row>
    <row r="184" spans="1:4" x14ac:dyDescent="0.25">
      <c r="A184">
        <v>9</v>
      </c>
      <c r="B184" t="s">
        <v>1073</v>
      </c>
      <c r="C184">
        <v>39</v>
      </c>
      <c r="D184" t="s">
        <v>480</v>
      </c>
    </row>
    <row r="185" spans="1:4" x14ac:dyDescent="0.25">
      <c r="A185">
        <v>9</v>
      </c>
      <c r="B185" t="s">
        <v>1073</v>
      </c>
      <c r="C185">
        <v>40</v>
      </c>
      <c r="D185" t="s">
        <v>481</v>
      </c>
    </row>
    <row r="186" spans="1:4" x14ac:dyDescent="0.25">
      <c r="A186">
        <v>9</v>
      </c>
      <c r="B186" t="s">
        <v>1073</v>
      </c>
      <c r="C186">
        <v>42</v>
      </c>
      <c r="D186" t="s">
        <v>483</v>
      </c>
    </row>
    <row r="187" spans="1:4" x14ac:dyDescent="0.25">
      <c r="A187">
        <v>10</v>
      </c>
      <c r="B187" t="s">
        <v>1074</v>
      </c>
      <c r="C187">
        <v>3</v>
      </c>
      <c r="D187" t="s">
        <v>1070</v>
      </c>
    </row>
    <row r="188" spans="1:4" x14ac:dyDescent="0.25">
      <c r="A188">
        <v>10</v>
      </c>
      <c r="B188" t="s">
        <v>1074</v>
      </c>
      <c r="C188">
        <v>4</v>
      </c>
      <c r="D188" t="s">
        <v>1071</v>
      </c>
    </row>
    <row r="189" spans="1:4" x14ac:dyDescent="0.25">
      <c r="A189">
        <v>10</v>
      </c>
      <c r="B189" t="s">
        <v>1074</v>
      </c>
      <c r="C189">
        <v>11</v>
      </c>
      <c r="D189" t="s">
        <v>1075</v>
      </c>
    </row>
    <row r="190" spans="1:4" x14ac:dyDescent="0.25">
      <c r="A190">
        <v>10</v>
      </c>
      <c r="B190" t="s">
        <v>1074</v>
      </c>
      <c r="C190">
        <v>14</v>
      </c>
      <c r="D190" t="s">
        <v>1078</v>
      </c>
    </row>
    <row r="191" spans="1:4" x14ac:dyDescent="0.25">
      <c r="A191">
        <v>10</v>
      </c>
      <c r="B191" t="s">
        <v>1074</v>
      </c>
      <c r="C191">
        <v>15</v>
      </c>
      <c r="D191" t="s">
        <v>1079</v>
      </c>
    </row>
    <row r="192" spans="1:4" x14ac:dyDescent="0.25">
      <c r="A192">
        <v>10</v>
      </c>
      <c r="B192" t="s">
        <v>1074</v>
      </c>
      <c r="C192">
        <v>16</v>
      </c>
      <c r="D192" t="s">
        <v>1080</v>
      </c>
    </row>
    <row r="193" spans="1:4" x14ac:dyDescent="0.25">
      <c r="A193">
        <v>10</v>
      </c>
      <c r="B193" t="s">
        <v>1074</v>
      </c>
      <c r="C193">
        <v>17</v>
      </c>
      <c r="D193" t="s">
        <v>1081</v>
      </c>
    </row>
    <row r="194" spans="1:4" x14ac:dyDescent="0.25">
      <c r="A194">
        <v>10</v>
      </c>
      <c r="B194" t="s">
        <v>1074</v>
      </c>
      <c r="C194">
        <v>18</v>
      </c>
      <c r="D194" t="s">
        <v>1082</v>
      </c>
    </row>
    <row r="195" spans="1:4" x14ac:dyDescent="0.25">
      <c r="A195">
        <v>10</v>
      </c>
      <c r="B195" t="s">
        <v>1074</v>
      </c>
      <c r="C195">
        <v>20</v>
      </c>
      <c r="D195" t="s">
        <v>1084</v>
      </c>
    </row>
    <row r="196" spans="1:4" x14ac:dyDescent="0.25">
      <c r="A196">
        <v>10</v>
      </c>
      <c r="B196" t="s">
        <v>1074</v>
      </c>
      <c r="C196">
        <v>21</v>
      </c>
      <c r="D196" t="s">
        <v>1085</v>
      </c>
    </row>
    <row r="197" spans="1:4" x14ac:dyDescent="0.25">
      <c r="A197">
        <v>10</v>
      </c>
      <c r="B197" t="s">
        <v>1074</v>
      </c>
      <c r="C197">
        <v>25</v>
      </c>
      <c r="D197" t="s">
        <v>466</v>
      </c>
    </row>
    <row r="198" spans="1:4" x14ac:dyDescent="0.25">
      <c r="A198">
        <v>10</v>
      </c>
      <c r="B198" t="s">
        <v>1074</v>
      </c>
      <c r="C198">
        <v>26</v>
      </c>
      <c r="D198" t="s">
        <v>467</v>
      </c>
    </row>
    <row r="199" spans="1:4" x14ac:dyDescent="0.25">
      <c r="A199">
        <v>10</v>
      </c>
      <c r="B199" t="s">
        <v>1074</v>
      </c>
      <c r="C199">
        <v>27</v>
      </c>
      <c r="D199" t="s">
        <v>468</v>
      </c>
    </row>
    <row r="200" spans="1:4" x14ac:dyDescent="0.25">
      <c r="A200">
        <v>10</v>
      </c>
      <c r="B200" t="s">
        <v>1074</v>
      </c>
      <c r="C200">
        <v>28</v>
      </c>
      <c r="D200" t="s">
        <v>469</v>
      </c>
    </row>
    <row r="201" spans="1:4" x14ac:dyDescent="0.25">
      <c r="A201">
        <v>10</v>
      </c>
      <c r="B201" t="s">
        <v>1074</v>
      </c>
      <c r="C201">
        <v>29</v>
      </c>
      <c r="D201" t="s">
        <v>470</v>
      </c>
    </row>
    <row r="202" spans="1:4" x14ac:dyDescent="0.25">
      <c r="A202">
        <v>10</v>
      </c>
      <c r="B202" t="s">
        <v>1074</v>
      </c>
      <c r="C202">
        <v>30</v>
      </c>
      <c r="D202" t="s">
        <v>471</v>
      </c>
    </row>
    <row r="203" spans="1:4" x14ac:dyDescent="0.25">
      <c r="A203">
        <v>10</v>
      </c>
      <c r="B203" t="s">
        <v>1074</v>
      </c>
      <c r="C203">
        <v>31</v>
      </c>
      <c r="D203" t="s">
        <v>472</v>
      </c>
    </row>
    <row r="204" spans="1:4" x14ac:dyDescent="0.25">
      <c r="A204">
        <v>10</v>
      </c>
      <c r="B204" t="s">
        <v>1074</v>
      </c>
      <c r="C204">
        <v>34</v>
      </c>
      <c r="D204" t="s">
        <v>475</v>
      </c>
    </row>
    <row r="205" spans="1:4" x14ac:dyDescent="0.25">
      <c r="A205">
        <v>10</v>
      </c>
      <c r="B205" t="s">
        <v>1074</v>
      </c>
      <c r="C205">
        <v>35</v>
      </c>
      <c r="D205" t="s">
        <v>476</v>
      </c>
    </row>
    <row r="206" spans="1:4" x14ac:dyDescent="0.25">
      <c r="A206">
        <v>10</v>
      </c>
      <c r="B206" t="s">
        <v>1074</v>
      </c>
      <c r="C206">
        <v>37</v>
      </c>
      <c r="D206" t="s">
        <v>478</v>
      </c>
    </row>
    <row r="207" spans="1:4" x14ac:dyDescent="0.25">
      <c r="A207">
        <v>10</v>
      </c>
      <c r="B207" t="s">
        <v>1074</v>
      </c>
      <c r="C207">
        <v>39</v>
      </c>
      <c r="D207" t="s">
        <v>480</v>
      </c>
    </row>
    <row r="208" spans="1:4" x14ac:dyDescent="0.25">
      <c r="A208">
        <v>10</v>
      </c>
      <c r="B208" t="s">
        <v>1074</v>
      </c>
      <c r="C208">
        <v>40</v>
      </c>
      <c r="D208" t="s">
        <v>481</v>
      </c>
    </row>
    <row r="209" spans="1:4" x14ac:dyDescent="0.25">
      <c r="A209">
        <v>10</v>
      </c>
      <c r="B209" t="s">
        <v>1074</v>
      </c>
      <c r="C209">
        <v>42</v>
      </c>
      <c r="D209" t="s">
        <v>483</v>
      </c>
    </row>
    <row r="210" spans="1:4" x14ac:dyDescent="0.25">
      <c r="A210">
        <v>10</v>
      </c>
      <c r="B210" t="s">
        <v>1074</v>
      </c>
      <c r="C210">
        <v>43</v>
      </c>
      <c r="D210" t="s">
        <v>484</v>
      </c>
    </row>
    <row r="211" spans="1:4" x14ac:dyDescent="0.25">
      <c r="A211">
        <v>11</v>
      </c>
      <c r="B211" t="s">
        <v>1075</v>
      </c>
      <c r="C211">
        <v>1</v>
      </c>
      <c r="D211" t="s">
        <v>1067</v>
      </c>
    </row>
    <row r="212" spans="1:4" x14ac:dyDescent="0.25">
      <c r="A212">
        <v>11</v>
      </c>
      <c r="B212" t="s">
        <v>1075</v>
      </c>
      <c r="C212">
        <v>2</v>
      </c>
      <c r="D212" t="s">
        <v>1069</v>
      </c>
    </row>
    <row r="213" spans="1:4" x14ac:dyDescent="0.25">
      <c r="A213">
        <v>11</v>
      </c>
      <c r="B213" t="s">
        <v>1075</v>
      </c>
      <c r="C213">
        <v>3</v>
      </c>
      <c r="D213" t="s">
        <v>1070</v>
      </c>
    </row>
    <row r="214" spans="1:4" x14ac:dyDescent="0.25">
      <c r="A214">
        <v>11</v>
      </c>
      <c r="B214" t="s">
        <v>1075</v>
      </c>
      <c r="C214">
        <v>4</v>
      </c>
      <c r="D214" t="s">
        <v>1071</v>
      </c>
    </row>
    <row r="215" spans="1:4" x14ac:dyDescent="0.25">
      <c r="A215">
        <v>11</v>
      </c>
      <c r="B215" t="s">
        <v>1075</v>
      </c>
      <c r="C215">
        <v>5</v>
      </c>
      <c r="D215" t="s">
        <v>460</v>
      </c>
    </row>
    <row r="216" spans="1:4" x14ac:dyDescent="0.25">
      <c r="A216">
        <v>11</v>
      </c>
      <c r="B216" t="s">
        <v>1075</v>
      </c>
      <c r="C216">
        <v>6</v>
      </c>
      <c r="D216" t="s">
        <v>461</v>
      </c>
    </row>
    <row r="217" spans="1:4" x14ac:dyDescent="0.25">
      <c r="A217">
        <v>11</v>
      </c>
      <c r="B217" t="s">
        <v>1075</v>
      </c>
      <c r="C217">
        <v>7</v>
      </c>
      <c r="D217" t="s">
        <v>462</v>
      </c>
    </row>
    <row r="218" spans="1:4" x14ac:dyDescent="0.25">
      <c r="A218">
        <v>11</v>
      </c>
      <c r="B218" t="s">
        <v>1075</v>
      </c>
      <c r="C218">
        <v>8</v>
      </c>
      <c r="D218" t="s">
        <v>1072</v>
      </c>
    </row>
    <row r="219" spans="1:4" x14ac:dyDescent="0.25">
      <c r="A219">
        <v>11</v>
      </c>
      <c r="B219" t="s">
        <v>1075</v>
      </c>
      <c r="C219">
        <v>9</v>
      </c>
      <c r="D219" t="s">
        <v>1073</v>
      </c>
    </row>
    <row r="220" spans="1:4" x14ac:dyDescent="0.25">
      <c r="A220">
        <v>11</v>
      </c>
      <c r="B220" t="s">
        <v>1075</v>
      </c>
      <c r="C220">
        <v>10</v>
      </c>
      <c r="D220" t="s">
        <v>1074</v>
      </c>
    </row>
    <row r="221" spans="1:4" x14ac:dyDescent="0.25">
      <c r="A221">
        <v>11</v>
      </c>
      <c r="B221" t="s">
        <v>1075</v>
      </c>
      <c r="C221">
        <v>12</v>
      </c>
      <c r="D221" t="s">
        <v>1076</v>
      </c>
    </row>
    <row r="222" spans="1:4" x14ac:dyDescent="0.25">
      <c r="A222">
        <v>11</v>
      </c>
      <c r="B222" t="s">
        <v>1075</v>
      </c>
      <c r="C222">
        <v>13</v>
      </c>
      <c r="D222" t="s">
        <v>1077</v>
      </c>
    </row>
    <row r="223" spans="1:4" x14ac:dyDescent="0.25">
      <c r="A223">
        <v>11</v>
      </c>
      <c r="B223" t="s">
        <v>1075</v>
      </c>
      <c r="C223">
        <v>14</v>
      </c>
      <c r="D223" t="s">
        <v>1078</v>
      </c>
    </row>
    <row r="224" spans="1:4" x14ac:dyDescent="0.25">
      <c r="A224">
        <v>11</v>
      </c>
      <c r="B224" t="s">
        <v>1075</v>
      </c>
      <c r="C224">
        <v>15</v>
      </c>
      <c r="D224" t="s">
        <v>1079</v>
      </c>
    </row>
    <row r="225" spans="1:4" x14ac:dyDescent="0.25">
      <c r="A225">
        <v>11</v>
      </c>
      <c r="B225" t="s">
        <v>1075</v>
      </c>
      <c r="C225">
        <v>16</v>
      </c>
      <c r="D225" t="s">
        <v>1080</v>
      </c>
    </row>
    <row r="226" spans="1:4" x14ac:dyDescent="0.25">
      <c r="A226">
        <v>11</v>
      </c>
      <c r="B226" t="s">
        <v>1075</v>
      </c>
      <c r="C226">
        <v>17</v>
      </c>
      <c r="D226" t="s">
        <v>1081</v>
      </c>
    </row>
    <row r="227" spans="1:4" x14ac:dyDescent="0.25">
      <c r="A227">
        <v>11</v>
      </c>
      <c r="B227" t="s">
        <v>1075</v>
      </c>
      <c r="C227">
        <v>20</v>
      </c>
      <c r="D227" t="s">
        <v>1084</v>
      </c>
    </row>
    <row r="228" spans="1:4" x14ac:dyDescent="0.25">
      <c r="A228">
        <v>11</v>
      </c>
      <c r="B228" t="s">
        <v>1075</v>
      </c>
      <c r="C228">
        <v>21</v>
      </c>
      <c r="D228" t="s">
        <v>1085</v>
      </c>
    </row>
    <row r="229" spans="1:4" x14ac:dyDescent="0.25">
      <c r="A229">
        <v>11</v>
      </c>
      <c r="B229" t="s">
        <v>1075</v>
      </c>
      <c r="C229">
        <v>25</v>
      </c>
      <c r="D229" t="s">
        <v>466</v>
      </c>
    </row>
    <row r="230" spans="1:4" x14ac:dyDescent="0.25">
      <c r="A230">
        <v>11</v>
      </c>
      <c r="B230" t="s">
        <v>1075</v>
      </c>
      <c r="C230">
        <v>26</v>
      </c>
      <c r="D230" t="s">
        <v>467</v>
      </c>
    </row>
    <row r="231" spans="1:4" x14ac:dyDescent="0.25">
      <c r="A231">
        <v>11</v>
      </c>
      <c r="B231" t="s">
        <v>1075</v>
      </c>
      <c r="C231">
        <v>27</v>
      </c>
      <c r="D231" t="s">
        <v>468</v>
      </c>
    </row>
    <row r="232" spans="1:4" x14ac:dyDescent="0.25">
      <c r="A232">
        <v>11</v>
      </c>
      <c r="B232" t="s">
        <v>1075</v>
      </c>
      <c r="C232">
        <v>28</v>
      </c>
      <c r="D232" t="s">
        <v>469</v>
      </c>
    </row>
    <row r="233" spans="1:4" x14ac:dyDescent="0.25">
      <c r="A233">
        <v>11</v>
      </c>
      <c r="B233" t="s">
        <v>1075</v>
      </c>
      <c r="C233">
        <v>29</v>
      </c>
      <c r="D233" t="s">
        <v>470</v>
      </c>
    </row>
    <row r="234" spans="1:4" x14ac:dyDescent="0.25">
      <c r="A234">
        <v>11</v>
      </c>
      <c r="B234" t="s">
        <v>1075</v>
      </c>
      <c r="C234">
        <v>30</v>
      </c>
      <c r="D234" t="s">
        <v>471</v>
      </c>
    </row>
    <row r="235" spans="1:4" x14ac:dyDescent="0.25">
      <c r="A235">
        <v>11</v>
      </c>
      <c r="B235" t="s">
        <v>1075</v>
      </c>
      <c r="C235">
        <v>35</v>
      </c>
      <c r="D235" t="s">
        <v>476</v>
      </c>
    </row>
    <row r="236" spans="1:4" x14ac:dyDescent="0.25">
      <c r="A236">
        <v>11</v>
      </c>
      <c r="B236" t="s">
        <v>1075</v>
      </c>
      <c r="C236">
        <v>37</v>
      </c>
      <c r="D236" t="s">
        <v>478</v>
      </c>
    </row>
    <row r="237" spans="1:4" x14ac:dyDescent="0.25">
      <c r="A237">
        <v>11</v>
      </c>
      <c r="B237" t="s">
        <v>1075</v>
      </c>
      <c r="C237">
        <v>38</v>
      </c>
      <c r="D237" t="s">
        <v>479</v>
      </c>
    </row>
    <row r="238" spans="1:4" x14ac:dyDescent="0.25">
      <c r="A238">
        <v>11</v>
      </c>
      <c r="B238" t="s">
        <v>1075</v>
      </c>
      <c r="C238">
        <v>41</v>
      </c>
      <c r="D238" t="s">
        <v>482</v>
      </c>
    </row>
    <row r="239" spans="1:4" x14ac:dyDescent="0.25">
      <c r="A239">
        <v>11</v>
      </c>
      <c r="B239" t="s">
        <v>1075</v>
      </c>
      <c r="C239">
        <v>42</v>
      </c>
      <c r="D239" t="s">
        <v>483</v>
      </c>
    </row>
    <row r="240" spans="1:4" x14ac:dyDescent="0.25">
      <c r="A240">
        <v>11</v>
      </c>
      <c r="B240" t="s">
        <v>1075</v>
      </c>
      <c r="C240">
        <v>43</v>
      </c>
      <c r="D240" t="s">
        <v>484</v>
      </c>
    </row>
    <row r="241" spans="1:4" x14ac:dyDescent="0.25">
      <c r="A241">
        <v>12</v>
      </c>
      <c r="B241" t="s">
        <v>1076</v>
      </c>
      <c r="C241">
        <v>3</v>
      </c>
      <c r="D241" t="s">
        <v>1070</v>
      </c>
    </row>
    <row r="242" spans="1:4" x14ac:dyDescent="0.25">
      <c r="A242">
        <v>12</v>
      </c>
      <c r="B242" t="s">
        <v>1076</v>
      </c>
      <c r="C242">
        <v>4</v>
      </c>
      <c r="D242" t="s">
        <v>1071</v>
      </c>
    </row>
    <row r="243" spans="1:4" x14ac:dyDescent="0.25">
      <c r="A243">
        <v>12</v>
      </c>
      <c r="B243" t="s">
        <v>1076</v>
      </c>
      <c r="C243">
        <v>11</v>
      </c>
      <c r="D243" t="s">
        <v>1075</v>
      </c>
    </row>
    <row r="244" spans="1:4" x14ac:dyDescent="0.25">
      <c r="A244">
        <v>12</v>
      </c>
      <c r="B244" t="s">
        <v>1076</v>
      </c>
      <c r="C244">
        <v>14</v>
      </c>
      <c r="D244" t="s">
        <v>1078</v>
      </c>
    </row>
    <row r="245" spans="1:4" x14ac:dyDescent="0.25">
      <c r="A245">
        <v>12</v>
      </c>
      <c r="B245" t="s">
        <v>1076</v>
      </c>
      <c r="C245">
        <v>15</v>
      </c>
      <c r="D245" t="s">
        <v>1079</v>
      </c>
    </row>
    <row r="246" spans="1:4" x14ac:dyDescent="0.25">
      <c r="A246">
        <v>12</v>
      </c>
      <c r="B246" t="s">
        <v>1076</v>
      </c>
      <c r="C246">
        <v>16</v>
      </c>
      <c r="D246" t="s">
        <v>1080</v>
      </c>
    </row>
    <row r="247" spans="1:4" x14ac:dyDescent="0.25">
      <c r="A247">
        <v>12</v>
      </c>
      <c r="B247" t="s">
        <v>1076</v>
      </c>
      <c r="C247">
        <v>17</v>
      </c>
      <c r="D247" t="s">
        <v>1081</v>
      </c>
    </row>
    <row r="248" spans="1:4" x14ac:dyDescent="0.25">
      <c r="A248">
        <v>12</v>
      </c>
      <c r="B248" t="s">
        <v>1076</v>
      </c>
      <c r="C248">
        <v>18</v>
      </c>
      <c r="D248" t="s">
        <v>1082</v>
      </c>
    </row>
    <row r="249" spans="1:4" x14ac:dyDescent="0.25">
      <c r="A249">
        <v>12</v>
      </c>
      <c r="B249" t="s">
        <v>1076</v>
      </c>
      <c r="C249">
        <v>20</v>
      </c>
      <c r="D249" t="s">
        <v>1084</v>
      </c>
    </row>
    <row r="250" spans="1:4" x14ac:dyDescent="0.25">
      <c r="A250">
        <v>12</v>
      </c>
      <c r="B250" t="s">
        <v>1076</v>
      </c>
      <c r="C250">
        <v>21</v>
      </c>
      <c r="D250" t="s">
        <v>1085</v>
      </c>
    </row>
    <row r="251" spans="1:4" x14ac:dyDescent="0.25">
      <c r="A251">
        <v>12</v>
      </c>
      <c r="B251" t="s">
        <v>1076</v>
      </c>
      <c r="C251">
        <v>25</v>
      </c>
      <c r="D251" t="s">
        <v>466</v>
      </c>
    </row>
    <row r="252" spans="1:4" x14ac:dyDescent="0.25">
      <c r="A252">
        <v>12</v>
      </c>
      <c r="B252" t="s">
        <v>1076</v>
      </c>
      <c r="C252">
        <v>26</v>
      </c>
      <c r="D252" t="s">
        <v>467</v>
      </c>
    </row>
    <row r="253" spans="1:4" x14ac:dyDescent="0.25">
      <c r="A253">
        <v>12</v>
      </c>
      <c r="B253" t="s">
        <v>1076</v>
      </c>
      <c r="C253">
        <v>27</v>
      </c>
      <c r="D253" t="s">
        <v>468</v>
      </c>
    </row>
    <row r="254" spans="1:4" x14ac:dyDescent="0.25">
      <c r="A254">
        <v>12</v>
      </c>
      <c r="B254" t="s">
        <v>1076</v>
      </c>
      <c r="C254">
        <v>30</v>
      </c>
      <c r="D254" t="s">
        <v>471</v>
      </c>
    </row>
    <row r="255" spans="1:4" x14ac:dyDescent="0.25">
      <c r="A255">
        <v>12</v>
      </c>
      <c r="B255" t="s">
        <v>1076</v>
      </c>
      <c r="C255">
        <v>31</v>
      </c>
      <c r="D255" t="s">
        <v>472</v>
      </c>
    </row>
    <row r="256" spans="1:4" x14ac:dyDescent="0.25">
      <c r="A256">
        <v>12</v>
      </c>
      <c r="B256" t="s">
        <v>1076</v>
      </c>
      <c r="C256">
        <v>34</v>
      </c>
      <c r="D256" t="s">
        <v>475</v>
      </c>
    </row>
    <row r="257" spans="1:4" x14ac:dyDescent="0.25">
      <c r="A257">
        <v>12</v>
      </c>
      <c r="B257" t="s">
        <v>1076</v>
      </c>
      <c r="C257">
        <v>35</v>
      </c>
      <c r="D257" t="s">
        <v>476</v>
      </c>
    </row>
    <row r="258" spans="1:4" x14ac:dyDescent="0.25">
      <c r="A258">
        <v>12</v>
      </c>
      <c r="B258" t="s">
        <v>1076</v>
      </c>
      <c r="C258">
        <v>37</v>
      </c>
      <c r="D258" t="s">
        <v>478</v>
      </c>
    </row>
    <row r="259" spans="1:4" x14ac:dyDescent="0.25">
      <c r="A259">
        <v>12</v>
      </c>
      <c r="B259" t="s">
        <v>1076</v>
      </c>
      <c r="C259">
        <v>39</v>
      </c>
      <c r="D259" t="s">
        <v>480</v>
      </c>
    </row>
    <row r="260" spans="1:4" x14ac:dyDescent="0.25">
      <c r="A260">
        <v>12</v>
      </c>
      <c r="B260" t="s">
        <v>1076</v>
      </c>
      <c r="C260">
        <v>40</v>
      </c>
      <c r="D260" t="s">
        <v>481</v>
      </c>
    </row>
    <row r="261" spans="1:4" x14ac:dyDescent="0.25">
      <c r="A261">
        <v>12</v>
      </c>
      <c r="B261" t="s">
        <v>1076</v>
      </c>
      <c r="C261">
        <v>42</v>
      </c>
      <c r="D261" t="s">
        <v>483</v>
      </c>
    </row>
    <row r="262" spans="1:4" x14ac:dyDescent="0.25">
      <c r="A262">
        <v>13</v>
      </c>
      <c r="B262" t="s">
        <v>1077</v>
      </c>
      <c r="C262">
        <v>3</v>
      </c>
      <c r="D262" t="s">
        <v>1070</v>
      </c>
    </row>
    <row r="263" spans="1:4" x14ac:dyDescent="0.25">
      <c r="A263">
        <v>13</v>
      </c>
      <c r="B263" t="s">
        <v>1077</v>
      </c>
      <c r="C263">
        <v>4</v>
      </c>
      <c r="D263" t="s">
        <v>1071</v>
      </c>
    </row>
    <row r="264" spans="1:4" x14ac:dyDescent="0.25">
      <c r="A264">
        <v>13</v>
      </c>
      <c r="B264" t="s">
        <v>1077</v>
      </c>
      <c r="C264">
        <v>11</v>
      </c>
      <c r="D264" t="s">
        <v>1075</v>
      </c>
    </row>
    <row r="265" spans="1:4" x14ac:dyDescent="0.25">
      <c r="A265">
        <v>13</v>
      </c>
      <c r="B265" t="s">
        <v>1077</v>
      </c>
      <c r="C265">
        <v>14</v>
      </c>
      <c r="D265" t="s">
        <v>1078</v>
      </c>
    </row>
    <row r="266" spans="1:4" x14ac:dyDescent="0.25">
      <c r="A266">
        <v>13</v>
      </c>
      <c r="B266" t="s">
        <v>1077</v>
      </c>
      <c r="C266">
        <v>15</v>
      </c>
      <c r="D266" t="s">
        <v>1079</v>
      </c>
    </row>
    <row r="267" spans="1:4" x14ac:dyDescent="0.25">
      <c r="A267">
        <v>13</v>
      </c>
      <c r="B267" t="s">
        <v>1077</v>
      </c>
      <c r="C267">
        <v>16</v>
      </c>
      <c r="D267" t="s">
        <v>1080</v>
      </c>
    </row>
    <row r="268" spans="1:4" x14ac:dyDescent="0.25">
      <c r="A268">
        <v>13</v>
      </c>
      <c r="B268" t="s">
        <v>1077</v>
      </c>
      <c r="C268">
        <v>17</v>
      </c>
      <c r="D268" t="s">
        <v>1081</v>
      </c>
    </row>
    <row r="269" spans="1:4" x14ac:dyDescent="0.25">
      <c r="A269">
        <v>13</v>
      </c>
      <c r="B269" t="s">
        <v>1077</v>
      </c>
      <c r="C269">
        <v>18</v>
      </c>
      <c r="D269" t="s">
        <v>1082</v>
      </c>
    </row>
    <row r="270" spans="1:4" x14ac:dyDescent="0.25">
      <c r="A270">
        <v>13</v>
      </c>
      <c r="B270" t="s">
        <v>1077</v>
      </c>
      <c r="C270">
        <v>20</v>
      </c>
      <c r="D270" t="s">
        <v>1084</v>
      </c>
    </row>
    <row r="271" spans="1:4" x14ac:dyDescent="0.25">
      <c r="A271">
        <v>13</v>
      </c>
      <c r="B271" t="s">
        <v>1077</v>
      </c>
      <c r="C271">
        <v>21</v>
      </c>
      <c r="D271" t="s">
        <v>1085</v>
      </c>
    </row>
    <row r="272" spans="1:4" x14ac:dyDescent="0.25">
      <c r="A272">
        <v>13</v>
      </c>
      <c r="B272" t="s">
        <v>1077</v>
      </c>
      <c r="C272">
        <v>25</v>
      </c>
      <c r="D272" t="s">
        <v>466</v>
      </c>
    </row>
    <row r="273" spans="1:4" x14ac:dyDescent="0.25">
      <c r="A273">
        <v>13</v>
      </c>
      <c r="B273" t="s">
        <v>1077</v>
      </c>
      <c r="C273">
        <v>26</v>
      </c>
      <c r="D273" t="s">
        <v>467</v>
      </c>
    </row>
    <row r="274" spans="1:4" x14ac:dyDescent="0.25">
      <c r="A274">
        <v>13</v>
      </c>
      <c r="B274" t="s">
        <v>1077</v>
      </c>
      <c r="C274">
        <v>27</v>
      </c>
      <c r="D274" t="s">
        <v>468</v>
      </c>
    </row>
    <row r="275" spans="1:4" x14ac:dyDescent="0.25">
      <c r="A275">
        <v>13</v>
      </c>
      <c r="B275" t="s">
        <v>1077</v>
      </c>
      <c r="C275">
        <v>30</v>
      </c>
      <c r="D275" t="s">
        <v>471</v>
      </c>
    </row>
    <row r="276" spans="1:4" x14ac:dyDescent="0.25">
      <c r="A276">
        <v>13</v>
      </c>
      <c r="B276" t="s">
        <v>1077</v>
      </c>
      <c r="C276">
        <v>31</v>
      </c>
      <c r="D276" t="s">
        <v>472</v>
      </c>
    </row>
    <row r="277" spans="1:4" x14ac:dyDescent="0.25">
      <c r="A277">
        <v>13</v>
      </c>
      <c r="B277" t="s">
        <v>1077</v>
      </c>
      <c r="C277">
        <v>34</v>
      </c>
      <c r="D277" t="s">
        <v>475</v>
      </c>
    </row>
    <row r="278" spans="1:4" x14ac:dyDescent="0.25">
      <c r="A278">
        <v>13</v>
      </c>
      <c r="B278" t="s">
        <v>1077</v>
      </c>
      <c r="C278">
        <v>35</v>
      </c>
      <c r="D278" t="s">
        <v>476</v>
      </c>
    </row>
    <row r="279" spans="1:4" x14ac:dyDescent="0.25">
      <c r="A279">
        <v>13</v>
      </c>
      <c r="B279" t="s">
        <v>1077</v>
      </c>
      <c r="C279">
        <v>37</v>
      </c>
      <c r="D279" t="s">
        <v>478</v>
      </c>
    </row>
    <row r="280" spans="1:4" x14ac:dyDescent="0.25">
      <c r="A280">
        <v>13</v>
      </c>
      <c r="B280" t="s">
        <v>1077</v>
      </c>
      <c r="C280">
        <v>39</v>
      </c>
      <c r="D280" t="s">
        <v>480</v>
      </c>
    </row>
    <row r="281" spans="1:4" x14ac:dyDescent="0.25">
      <c r="A281">
        <v>13</v>
      </c>
      <c r="B281" t="s">
        <v>1077</v>
      </c>
      <c r="C281">
        <v>40</v>
      </c>
      <c r="D281" t="s">
        <v>481</v>
      </c>
    </row>
    <row r="282" spans="1:4" x14ac:dyDescent="0.25">
      <c r="A282">
        <v>13</v>
      </c>
      <c r="B282" t="s">
        <v>1077</v>
      </c>
      <c r="C282">
        <v>42</v>
      </c>
      <c r="D282" t="s">
        <v>483</v>
      </c>
    </row>
    <row r="283" spans="1:4" x14ac:dyDescent="0.25">
      <c r="A283">
        <v>14</v>
      </c>
      <c r="B283" t="s">
        <v>1078</v>
      </c>
      <c r="C283">
        <v>4</v>
      </c>
      <c r="D283" t="s">
        <v>1071</v>
      </c>
    </row>
    <row r="284" spans="1:4" x14ac:dyDescent="0.25">
      <c r="A284">
        <v>14</v>
      </c>
      <c r="B284" t="s">
        <v>1078</v>
      </c>
      <c r="C284">
        <v>5</v>
      </c>
      <c r="D284" t="s">
        <v>460</v>
      </c>
    </row>
    <row r="285" spans="1:4" x14ac:dyDescent="0.25">
      <c r="A285">
        <v>14</v>
      </c>
      <c r="B285" t="s">
        <v>1078</v>
      </c>
      <c r="C285">
        <v>6</v>
      </c>
      <c r="D285" t="s">
        <v>461</v>
      </c>
    </row>
    <row r="286" spans="1:4" x14ac:dyDescent="0.25">
      <c r="A286">
        <v>14</v>
      </c>
      <c r="B286" t="s">
        <v>1078</v>
      </c>
      <c r="C286">
        <v>8</v>
      </c>
      <c r="D286" t="s">
        <v>1072</v>
      </c>
    </row>
    <row r="287" spans="1:4" x14ac:dyDescent="0.25">
      <c r="A287">
        <v>14</v>
      </c>
      <c r="B287" t="s">
        <v>1078</v>
      </c>
      <c r="C287">
        <v>9</v>
      </c>
      <c r="D287" t="s">
        <v>1073</v>
      </c>
    </row>
    <row r="288" spans="1:4" x14ac:dyDescent="0.25">
      <c r="A288">
        <v>14</v>
      </c>
      <c r="B288" t="s">
        <v>1078</v>
      </c>
      <c r="C288">
        <v>10</v>
      </c>
      <c r="D288" t="s">
        <v>1074</v>
      </c>
    </row>
    <row r="289" spans="1:4" x14ac:dyDescent="0.25">
      <c r="A289">
        <v>14</v>
      </c>
      <c r="B289" t="s">
        <v>1078</v>
      </c>
      <c r="C289">
        <v>11</v>
      </c>
      <c r="D289" t="s">
        <v>1075</v>
      </c>
    </row>
    <row r="290" spans="1:4" x14ac:dyDescent="0.25">
      <c r="A290">
        <v>14</v>
      </c>
      <c r="B290" t="s">
        <v>1078</v>
      </c>
      <c r="C290">
        <v>12</v>
      </c>
      <c r="D290" t="s">
        <v>1076</v>
      </c>
    </row>
    <row r="291" spans="1:4" x14ac:dyDescent="0.25">
      <c r="A291">
        <v>14</v>
      </c>
      <c r="B291" t="s">
        <v>1078</v>
      </c>
      <c r="C291">
        <v>13</v>
      </c>
      <c r="D291" t="s">
        <v>1077</v>
      </c>
    </row>
    <row r="292" spans="1:4" x14ac:dyDescent="0.25">
      <c r="A292">
        <v>14</v>
      </c>
      <c r="B292" t="s">
        <v>1078</v>
      </c>
      <c r="C292">
        <v>17</v>
      </c>
      <c r="D292" t="s">
        <v>1081</v>
      </c>
    </row>
    <row r="293" spans="1:4" x14ac:dyDescent="0.25">
      <c r="A293">
        <v>14</v>
      </c>
      <c r="B293" t="s">
        <v>1078</v>
      </c>
      <c r="C293">
        <v>18</v>
      </c>
      <c r="D293" t="s">
        <v>1082</v>
      </c>
    </row>
    <row r="294" spans="1:4" x14ac:dyDescent="0.25">
      <c r="A294">
        <v>14</v>
      </c>
      <c r="B294" t="s">
        <v>1078</v>
      </c>
      <c r="C294">
        <v>19</v>
      </c>
      <c r="D294" t="s">
        <v>1083</v>
      </c>
    </row>
    <row r="295" spans="1:4" x14ac:dyDescent="0.25">
      <c r="A295">
        <v>14</v>
      </c>
      <c r="B295" t="s">
        <v>1078</v>
      </c>
      <c r="C295">
        <v>22</v>
      </c>
      <c r="D295" t="s">
        <v>463</v>
      </c>
    </row>
    <row r="296" spans="1:4" x14ac:dyDescent="0.25">
      <c r="A296">
        <v>14</v>
      </c>
      <c r="B296" t="s">
        <v>1078</v>
      </c>
      <c r="C296">
        <v>23</v>
      </c>
      <c r="D296" t="s">
        <v>464</v>
      </c>
    </row>
    <row r="297" spans="1:4" x14ac:dyDescent="0.25">
      <c r="A297">
        <v>14</v>
      </c>
      <c r="B297" t="s">
        <v>1078</v>
      </c>
      <c r="C297">
        <v>24</v>
      </c>
      <c r="D297" t="s">
        <v>465</v>
      </c>
    </row>
    <row r="298" spans="1:4" x14ac:dyDescent="0.25">
      <c r="A298">
        <v>14</v>
      </c>
      <c r="B298" t="s">
        <v>1078</v>
      </c>
      <c r="C298">
        <v>28</v>
      </c>
      <c r="D298" t="s">
        <v>469</v>
      </c>
    </row>
    <row r="299" spans="1:4" x14ac:dyDescent="0.25">
      <c r="A299">
        <v>14</v>
      </c>
      <c r="B299" t="s">
        <v>1078</v>
      </c>
      <c r="C299">
        <v>29</v>
      </c>
      <c r="D299" t="s">
        <v>470</v>
      </c>
    </row>
    <row r="300" spans="1:4" x14ac:dyDescent="0.25">
      <c r="A300">
        <v>14</v>
      </c>
      <c r="B300" t="s">
        <v>1078</v>
      </c>
      <c r="C300">
        <v>31</v>
      </c>
      <c r="D300" t="s">
        <v>472</v>
      </c>
    </row>
    <row r="301" spans="1:4" x14ac:dyDescent="0.25">
      <c r="A301">
        <v>14</v>
      </c>
      <c r="B301" t="s">
        <v>1078</v>
      </c>
      <c r="C301">
        <v>32</v>
      </c>
      <c r="D301" t="s">
        <v>473</v>
      </c>
    </row>
    <row r="302" spans="1:4" x14ac:dyDescent="0.25">
      <c r="A302">
        <v>14</v>
      </c>
      <c r="B302" t="s">
        <v>1078</v>
      </c>
      <c r="C302">
        <v>33</v>
      </c>
      <c r="D302" t="s">
        <v>474</v>
      </c>
    </row>
    <row r="303" spans="1:4" x14ac:dyDescent="0.25">
      <c r="A303">
        <v>14</v>
      </c>
      <c r="B303" t="s">
        <v>1078</v>
      </c>
      <c r="C303">
        <v>34</v>
      </c>
      <c r="D303" t="s">
        <v>475</v>
      </c>
    </row>
    <row r="304" spans="1:4" x14ac:dyDescent="0.25">
      <c r="A304">
        <v>14</v>
      </c>
      <c r="B304" t="s">
        <v>1078</v>
      </c>
      <c r="C304">
        <v>36</v>
      </c>
      <c r="D304" t="s">
        <v>477</v>
      </c>
    </row>
    <row r="305" spans="1:4" x14ac:dyDescent="0.25">
      <c r="A305">
        <v>14</v>
      </c>
      <c r="B305" t="s">
        <v>1078</v>
      </c>
      <c r="C305">
        <v>37</v>
      </c>
      <c r="D305" t="s">
        <v>478</v>
      </c>
    </row>
    <row r="306" spans="1:4" x14ac:dyDescent="0.25">
      <c r="A306">
        <v>14</v>
      </c>
      <c r="B306" t="s">
        <v>1078</v>
      </c>
      <c r="C306">
        <v>38</v>
      </c>
      <c r="D306" t="s">
        <v>479</v>
      </c>
    </row>
    <row r="307" spans="1:4" x14ac:dyDescent="0.25">
      <c r="A307">
        <v>14</v>
      </c>
      <c r="B307" t="s">
        <v>1078</v>
      </c>
      <c r="C307">
        <v>39</v>
      </c>
      <c r="D307" t="s">
        <v>480</v>
      </c>
    </row>
    <row r="308" spans="1:4" x14ac:dyDescent="0.25">
      <c r="A308">
        <v>14</v>
      </c>
      <c r="B308" t="s">
        <v>1078</v>
      </c>
      <c r="C308">
        <v>40</v>
      </c>
      <c r="D308" t="s">
        <v>481</v>
      </c>
    </row>
    <row r="309" spans="1:4" x14ac:dyDescent="0.25">
      <c r="A309">
        <v>14</v>
      </c>
      <c r="B309" t="s">
        <v>1078</v>
      </c>
      <c r="C309">
        <v>41</v>
      </c>
      <c r="D309" t="s">
        <v>482</v>
      </c>
    </row>
    <row r="310" spans="1:4" x14ac:dyDescent="0.25">
      <c r="A310">
        <v>14</v>
      </c>
      <c r="B310" t="s">
        <v>1078</v>
      </c>
      <c r="C310">
        <v>43</v>
      </c>
      <c r="D310" t="s">
        <v>484</v>
      </c>
    </row>
    <row r="311" spans="1:4" x14ac:dyDescent="0.25">
      <c r="A311">
        <v>15</v>
      </c>
      <c r="B311" t="s">
        <v>1079</v>
      </c>
      <c r="C311">
        <v>4</v>
      </c>
      <c r="D311" t="s">
        <v>1071</v>
      </c>
    </row>
    <row r="312" spans="1:4" x14ac:dyDescent="0.25">
      <c r="A312">
        <v>15</v>
      </c>
      <c r="B312" t="s">
        <v>1079</v>
      </c>
      <c r="C312">
        <v>5</v>
      </c>
      <c r="D312" t="s">
        <v>460</v>
      </c>
    </row>
    <row r="313" spans="1:4" x14ac:dyDescent="0.25">
      <c r="A313">
        <v>15</v>
      </c>
      <c r="B313" t="s">
        <v>1079</v>
      </c>
      <c r="C313">
        <v>6</v>
      </c>
      <c r="D313" t="s">
        <v>461</v>
      </c>
    </row>
    <row r="314" spans="1:4" x14ac:dyDescent="0.25">
      <c r="A314">
        <v>15</v>
      </c>
      <c r="B314" t="s">
        <v>1079</v>
      </c>
      <c r="C314">
        <v>8</v>
      </c>
      <c r="D314" t="s">
        <v>1072</v>
      </c>
    </row>
    <row r="315" spans="1:4" x14ac:dyDescent="0.25">
      <c r="A315">
        <v>15</v>
      </c>
      <c r="B315" t="s">
        <v>1079</v>
      </c>
      <c r="C315">
        <v>9</v>
      </c>
      <c r="D315" t="s">
        <v>1073</v>
      </c>
    </row>
    <row r="316" spans="1:4" x14ac:dyDescent="0.25">
      <c r="A316">
        <v>15</v>
      </c>
      <c r="B316" t="s">
        <v>1079</v>
      </c>
      <c r="C316">
        <v>10</v>
      </c>
      <c r="D316" t="s">
        <v>1074</v>
      </c>
    </row>
    <row r="317" spans="1:4" x14ac:dyDescent="0.25">
      <c r="A317">
        <v>15</v>
      </c>
      <c r="B317" t="s">
        <v>1079</v>
      </c>
      <c r="C317">
        <v>11</v>
      </c>
      <c r="D317" t="s">
        <v>1075</v>
      </c>
    </row>
    <row r="318" spans="1:4" x14ac:dyDescent="0.25">
      <c r="A318">
        <v>15</v>
      </c>
      <c r="B318" t="s">
        <v>1079</v>
      </c>
      <c r="C318">
        <v>12</v>
      </c>
      <c r="D318" t="s">
        <v>1076</v>
      </c>
    </row>
    <row r="319" spans="1:4" x14ac:dyDescent="0.25">
      <c r="A319">
        <v>15</v>
      </c>
      <c r="B319" t="s">
        <v>1079</v>
      </c>
      <c r="C319">
        <v>13</v>
      </c>
      <c r="D319" t="s">
        <v>1077</v>
      </c>
    </row>
    <row r="320" spans="1:4" x14ac:dyDescent="0.25">
      <c r="A320">
        <v>15</v>
      </c>
      <c r="B320" t="s">
        <v>1079</v>
      </c>
      <c r="C320">
        <v>17</v>
      </c>
      <c r="D320" t="s">
        <v>1081</v>
      </c>
    </row>
    <row r="321" spans="1:4" x14ac:dyDescent="0.25">
      <c r="A321">
        <v>15</v>
      </c>
      <c r="B321" t="s">
        <v>1079</v>
      </c>
      <c r="C321">
        <v>18</v>
      </c>
      <c r="D321" t="s">
        <v>1082</v>
      </c>
    </row>
    <row r="322" spans="1:4" x14ac:dyDescent="0.25">
      <c r="A322">
        <v>15</v>
      </c>
      <c r="B322" t="s">
        <v>1079</v>
      </c>
      <c r="C322">
        <v>19</v>
      </c>
      <c r="D322" t="s">
        <v>1083</v>
      </c>
    </row>
    <row r="323" spans="1:4" x14ac:dyDescent="0.25">
      <c r="A323">
        <v>15</v>
      </c>
      <c r="B323" t="s">
        <v>1079</v>
      </c>
      <c r="C323">
        <v>22</v>
      </c>
      <c r="D323" t="s">
        <v>463</v>
      </c>
    </row>
    <row r="324" spans="1:4" x14ac:dyDescent="0.25">
      <c r="A324">
        <v>15</v>
      </c>
      <c r="B324" t="s">
        <v>1079</v>
      </c>
      <c r="C324">
        <v>23</v>
      </c>
      <c r="D324" t="s">
        <v>464</v>
      </c>
    </row>
    <row r="325" spans="1:4" x14ac:dyDescent="0.25">
      <c r="A325">
        <v>15</v>
      </c>
      <c r="B325" t="s">
        <v>1079</v>
      </c>
      <c r="C325">
        <v>24</v>
      </c>
      <c r="D325" t="s">
        <v>465</v>
      </c>
    </row>
    <row r="326" spans="1:4" x14ac:dyDescent="0.25">
      <c r="A326">
        <v>15</v>
      </c>
      <c r="B326" t="s">
        <v>1079</v>
      </c>
      <c r="C326">
        <v>26</v>
      </c>
      <c r="D326" t="s">
        <v>467</v>
      </c>
    </row>
    <row r="327" spans="1:4" x14ac:dyDescent="0.25">
      <c r="A327">
        <v>15</v>
      </c>
      <c r="B327" t="s">
        <v>1079</v>
      </c>
      <c r="C327">
        <v>28</v>
      </c>
      <c r="D327" t="s">
        <v>469</v>
      </c>
    </row>
    <row r="328" spans="1:4" x14ac:dyDescent="0.25">
      <c r="A328">
        <v>15</v>
      </c>
      <c r="B328" t="s">
        <v>1079</v>
      </c>
      <c r="C328">
        <v>29</v>
      </c>
      <c r="D328" t="s">
        <v>470</v>
      </c>
    </row>
    <row r="329" spans="1:4" x14ac:dyDescent="0.25">
      <c r="A329">
        <v>15</v>
      </c>
      <c r="B329" t="s">
        <v>1079</v>
      </c>
      <c r="C329">
        <v>31</v>
      </c>
      <c r="D329" t="s">
        <v>472</v>
      </c>
    </row>
    <row r="330" spans="1:4" x14ac:dyDescent="0.25">
      <c r="A330">
        <v>15</v>
      </c>
      <c r="B330" t="s">
        <v>1079</v>
      </c>
      <c r="C330">
        <v>32</v>
      </c>
      <c r="D330" t="s">
        <v>473</v>
      </c>
    </row>
    <row r="331" spans="1:4" x14ac:dyDescent="0.25">
      <c r="A331">
        <v>15</v>
      </c>
      <c r="B331" t="s">
        <v>1079</v>
      </c>
      <c r="C331">
        <v>33</v>
      </c>
      <c r="D331" t="s">
        <v>474</v>
      </c>
    </row>
    <row r="332" spans="1:4" x14ac:dyDescent="0.25">
      <c r="A332">
        <v>15</v>
      </c>
      <c r="B332" t="s">
        <v>1079</v>
      </c>
      <c r="C332">
        <v>34</v>
      </c>
      <c r="D332" t="s">
        <v>475</v>
      </c>
    </row>
    <row r="333" spans="1:4" x14ac:dyDescent="0.25">
      <c r="A333">
        <v>15</v>
      </c>
      <c r="B333" t="s">
        <v>1079</v>
      </c>
      <c r="C333">
        <v>36</v>
      </c>
      <c r="D333" t="s">
        <v>477</v>
      </c>
    </row>
    <row r="334" spans="1:4" x14ac:dyDescent="0.25">
      <c r="A334">
        <v>15</v>
      </c>
      <c r="B334" t="s">
        <v>1079</v>
      </c>
      <c r="C334">
        <v>37</v>
      </c>
      <c r="D334" t="s">
        <v>478</v>
      </c>
    </row>
    <row r="335" spans="1:4" x14ac:dyDescent="0.25">
      <c r="A335">
        <v>15</v>
      </c>
      <c r="B335" t="s">
        <v>1079</v>
      </c>
      <c r="C335">
        <v>38</v>
      </c>
      <c r="D335" t="s">
        <v>479</v>
      </c>
    </row>
    <row r="336" spans="1:4" x14ac:dyDescent="0.25">
      <c r="A336">
        <v>15</v>
      </c>
      <c r="B336" t="s">
        <v>1079</v>
      </c>
      <c r="C336">
        <v>39</v>
      </c>
      <c r="D336" t="s">
        <v>480</v>
      </c>
    </row>
    <row r="337" spans="1:4" x14ac:dyDescent="0.25">
      <c r="A337">
        <v>15</v>
      </c>
      <c r="B337" t="s">
        <v>1079</v>
      </c>
      <c r="C337">
        <v>40</v>
      </c>
      <c r="D337" t="s">
        <v>481</v>
      </c>
    </row>
    <row r="338" spans="1:4" x14ac:dyDescent="0.25">
      <c r="A338">
        <v>15</v>
      </c>
      <c r="B338" t="s">
        <v>1079</v>
      </c>
      <c r="C338">
        <v>41</v>
      </c>
      <c r="D338" t="s">
        <v>482</v>
      </c>
    </row>
    <row r="339" spans="1:4" x14ac:dyDescent="0.25">
      <c r="A339">
        <v>15</v>
      </c>
      <c r="B339" t="s">
        <v>1079</v>
      </c>
      <c r="C339">
        <v>43</v>
      </c>
      <c r="D339" t="s">
        <v>484</v>
      </c>
    </row>
    <row r="340" spans="1:4" x14ac:dyDescent="0.25">
      <c r="A340">
        <v>16</v>
      </c>
      <c r="B340" t="s">
        <v>1080</v>
      </c>
      <c r="C340">
        <v>4</v>
      </c>
      <c r="D340" t="s">
        <v>1071</v>
      </c>
    </row>
    <row r="341" spans="1:4" x14ac:dyDescent="0.25">
      <c r="A341">
        <v>16</v>
      </c>
      <c r="B341" t="s">
        <v>1080</v>
      </c>
      <c r="C341">
        <v>5</v>
      </c>
      <c r="D341" t="s">
        <v>460</v>
      </c>
    </row>
    <row r="342" spans="1:4" x14ac:dyDescent="0.25">
      <c r="A342">
        <v>16</v>
      </c>
      <c r="B342" t="s">
        <v>1080</v>
      </c>
      <c r="C342">
        <v>6</v>
      </c>
      <c r="D342" t="s">
        <v>461</v>
      </c>
    </row>
    <row r="343" spans="1:4" x14ac:dyDescent="0.25">
      <c r="A343">
        <v>16</v>
      </c>
      <c r="B343" t="s">
        <v>1080</v>
      </c>
      <c r="C343">
        <v>8</v>
      </c>
      <c r="D343" t="s">
        <v>1072</v>
      </c>
    </row>
    <row r="344" spans="1:4" x14ac:dyDescent="0.25">
      <c r="A344">
        <v>16</v>
      </c>
      <c r="B344" t="s">
        <v>1080</v>
      </c>
      <c r="C344">
        <v>9</v>
      </c>
      <c r="D344" t="s">
        <v>1073</v>
      </c>
    </row>
    <row r="345" spans="1:4" x14ac:dyDescent="0.25">
      <c r="A345">
        <v>16</v>
      </c>
      <c r="B345" t="s">
        <v>1080</v>
      </c>
      <c r="C345">
        <v>10</v>
      </c>
      <c r="D345" t="s">
        <v>1074</v>
      </c>
    </row>
    <row r="346" spans="1:4" x14ac:dyDescent="0.25">
      <c r="A346">
        <v>16</v>
      </c>
      <c r="B346" t="s">
        <v>1080</v>
      </c>
      <c r="C346">
        <v>11</v>
      </c>
      <c r="D346" t="s">
        <v>1075</v>
      </c>
    </row>
    <row r="347" spans="1:4" x14ac:dyDescent="0.25">
      <c r="A347">
        <v>16</v>
      </c>
      <c r="B347" t="s">
        <v>1080</v>
      </c>
      <c r="C347">
        <v>12</v>
      </c>
      <c r="D347" t="s">
        <v>1076</v>
      </c>
    </row>
    <row r="348" spans="1:4" x14ac:dyDescent="0.25">
      <c r="A348">
        <v>16</v>
      </c>
      <c r="B348" t="s">
        <v>1080</v>
      </c>
      <c r="C348">
        <v>13</v>
      </c>
      <c r="D348" t="s">
        <v>1077</v>
      </c>
    </row>
    <row r="349" spans="1:4" x14ac:dyDescent="0.25">
      <c r="A349">
        <v>16</v>
      </c>
      <c r="B349" t="s">
        <v>1080</v>
      </c>
      <c r="C349">
        <v>17</v>
      </c>
      <c r="D349" t="s">
        <v>1081</v>
      </c>
    </row>
    <row r="350" spans="1:4" x14ac:dyDescent="0.25">
      <c r="A350">
        <v>16</v>
      </c>
      <c r="B350" t="s">
        <v>1080</v>
      </c>
      <c r="C350">
        <v>18</v>
      </c>
      <c r="D350" t="s">
        <v>1082</v>
      </c>
    </row>
    <row r="351" spans="1:4" x14ac:dyDescent="0.25">
      <c r="A351">
        <v>16</v>
      </c>
      <c r="B351" t="s">
        <v>1080</v>
      </c>
      <c r="C351">
        <v>19</v>
      </c>
      <c r="D351" t="s">
        <v>1083</v>
      </c>
    </row>
    <row r="352" spans="1:4" x14ac:dyDescent="0.25">
      <c r="A352">
        <v>16</v>
      </c>
      <c r="B352" t="s">
        <v>1080</v>
      </c>
      <c r="C352">
        <v>22</v>
      </c>
      <c r="D352" t="s">
        <v>463</v>
      </c>
    </row>
    <row r="353" spans="1:4" x14ac:dyDescent="0.25">
      <c r="A353">
        <v>16</v>
      </c>
      <c r="B353" t="s">
        <v>1080</v>
      </c>
      <c r="C353">
        <v>23</v>
      </c>
      <c r="D353" t="s">
        <v>464</v>
      </c>
    </row>
    <row r="354" spans="1:4" x14ac:dyDescent="0.25">
      <c r="A354">
        <v>16</v>
      </c>
      <c r="B354" t="s">
        <v>1080</v>
      </c>
      <c r="C354">
        <v>24</v>
      </c>
      <c r="D354" t="s">
        <v>465</v>
      </c>
    </row>
    <row r="355" spans="1:4" x14ac:dyDescent="0.25">
      <c r="A355">
        <v>16</v>
      </c>
      <c r="B355" t="s">
        <v>1080</v>
      </c>
      <c r="C355">
        <v>26</v>
      </c>
      <c r="D355" t="s">
        <v>467</v>
      </c>
    </row>
    <row r="356" spans="1:4" x14ac:dyDescent="0.25">
      <c r="A356">
        <v>16</v>
      </c>
      <c r="B356" t="s">
        <v>1080</v>
      </c>
      <c r="C356">
        <v>28</v>
      </c>
      <c r="D356" t="s">
        <v>469</v>
      </c>
    </row>
    <row r="357" spans="1:4" x14ac:dyDescent="0.25">
      <c r="A357">
        <v>16</v>
      </c>
      <c r="B357" t="s">
        <v>1080</v>
      </c>
      <c r="C357">
        <v>29</v>
      </c>
      <c r="D357" t="s">
        <v>470</v>
      </c>
    </row>
    <row r="358" spans="1:4" x14ac:dyDescent="0.25">
      <c r="A358">
        <v>16</v>
      </c>
      <c r="B358" t="s">
        <v>1080</v>
      </c>
      <c r="C358">
        <v>31</v>
      </c>
      <c r="D358" t="s">
        <v>472</v>
      </c>
    </row>
    <row r="359" spans="1:4" x14ac:dyDescent="0.25">
      <c r="A359">
        <v>16</v>
      </c>
      <c r="B359" t="s">
        <v>1080</v>
      </c>
      <c r="C359">
        <v>32</v>
      </c>
      <c r="D359" t="s">
        <v>473</v>
      </c>
    </row>
    <row r="360" spans="1:4" x14ac:dyDescent="0.25">
      <c r="A360">
        <v>16</v>
      </c>
      <c r="B360" t="s">
        <v>1080</v>
      </c>
      <c r="C360">
        <v>33</v>
      </c>
      <c r="D360" t="s">
        <v>474</v>
      </c>
    </row>
    <row r="361" spans="1:4" x14ac:dyDescent="0.25">
      <c r="A361">
        <v>16</v>
      </c>
      <c r="B361" t="s">
        <v>1080</v>
      </c>
      <c r="C361">
        <v>34</v>
      </c>
      <c r="D361" t="s">
        <v>475</v>
      </c>
    </row>
    <row r="362" spans="1:4" x14ac:dyDescent="0.25">
      <c r="A362">
        <v>16</v>
      </c>
      <c r="B362" t="s">
        <v>1080</v>
      </c>
      <c r="C362">
        <v>36</v>
      </c>
      <c r="D362" t="s">
        <v>477</v>
      </c>
    </row>
    <row r="363" spans="1:4" x14ac:dyDescent="0.25">
      <c r="A363">
        <v>16</v>
      </c>
      <c r="B363" t="s">
        <v>1080</v>
      </c>
      <c r="C363">
        <v>37</v>
      </c>
      <c r="D363" t="s">
        <v>478</v>
      </c>
    </row>
    <row r="364" spans="1:4" x14ac:dyDescent="0.25">
      <c r="A364">
        <v>16</v>
      </c>
      <c r="B364" t="s">
        <v>1080</v>
      </c>
      <c r="C364">
        <v>38</v>
      </c>
      <c r="D364" t="s">
        <v>479</v>
      </c>
    </row>
    <row r="365" spans="1:4" x14ac:dyDescent="0.25">
      <c r="A365">
        <v>16</v>
      </c>
      <c r="B365" t="s">
        <v>1080</v>
      </c>
      <c r="C365">
        <v>39</v>
      </c>
      <c r="D365" t="s">
        <v>480</v>
      </c>
    </row>
    <row r="366" spans="1:4" x14ac:dyDescent="0.25">
      <c r="A366">
        <v>16</v>
      </c>
      <c r="B366" t="s">
        <v>1080</v>
      </c>
      <c r="C366">
        <v>40</v>
      </c>
      <c r="D366" t="s">
        <v>481</v>
      </c>
    </row>
    <row r="367" spans="1:4" x14ac:dyDescent="0.25">
      <c r="A367">
        <v>16</v>
      </c>
      <c r="B367" t="s">
        <v>1080</v>
      </c>
      <c r="C367">
        <v>41</v>
      </c>
      <c r="D367" t="s">
        <v>482</v>
      </c>
    </row>
    <row r="368" spans="1:4" x14ac:dyDescent="0.25">
      <c r="A368">
        <v>16</v>
      </c>
      <c r="B368" t="s">
        <v>1080</v>
      </c>
      <c r="C368">
        <v>43</v>
      </c>
      <c r="D368" t="s">
        <v>484</v>
      </c>
    </row>
    <row r="369" spans="1:4" x14ac:dyDescent="0.25">
      <c r="A369">
        <v>17</v>
      </c>
      <c r="B369" t="s">
        <v>1081</v>
      </c>
      <c r="C369">
        <v>1</v>
      </c>
      <c r="D369" t="s">
        <v>1067</v>
      </c>
    </row>
    <row r="370" spans="1:4" x14ac:dyDescent="0.25">
      <c r="A370">
        <v>17</v>
      </c>
      <c r="B370" t="s">
        <v>1081</v>
      </c>
      <c r="C370">
        <v>2</v>
      </c>
      <c r="D370" t="s">
        <v>1069</v>
      </c>
    </row>
    <row r="371" spans="1:4" x14ac:dyDescent="0.25">
      <c r="A371">
        <v>17</v>
      </c>
      <c r="B371" t="s">
        <v>1081</v>
      </c>
      <c r="C371">
        <v>3</v>
      </c>
      <c r="D371" t="s">
        <v>1070</v>
      </c>
    </row>
    <row r="372" spans="1:4" x14ac:dyDescent="0.25">
      <c r="A372">
        <v>17</v>
      </c>
      <c r="B372" t="s">
        <v>1081</v>
      </c>
      <c r="C372">
        <v>5</v>
      </c>
      <c r="D372" t="s">
        <v>460</v>
      </c>
    </row>
    <row r="373" spans="1:4" x14ac:dyDescent="0.25">
      <c r="A373">
        <v>17</v>
      </c>
      <c r="B373" t="s">
        <v>1081</v>
      </c>
      <c r="C373">
        <v>6</v>
      </c>
      <c r="D373" t="s">
        <v>461</v>
      </c>
    </row>
    <row r="374" spans="1:4" x14ac:dyDescent="0.25">
      <c r="A374">
        <v>17</v>
      </c>
      <c r="B374" t="s">
        <v>1081</v>
      </c>
      <c r="C374">
        <v>7</v>
      </c>
      <c r="D374" t="s">
        <v>462</v>
      </c>
    </row>
    <row r="375" spans="1:4" x14ac:dyDescent="0.25">
      <c r="A375">
        <v>17</v>
      </c>
      <c r="B375" t="s">
        <v>1081</v>
      </c>
      <c r="C375">
        <v>8</v>
      </c>
      <c r="D375" t="s">
        <v>1072</v>
      </c>
    </row>
    <row r="376" spans="1:4" x14ac:dyDescent="0.25">
      <c r="A376">
        <v>17</v>
      </c>
      <c r="B376" t="s">
        <v>1081</v>
      </c>
      <c r="C376">
        <v>9</v>
      </c>
      <c r="D376" t="s">
        <v>1073</v>
      </c>
    </row>
    <row r="377" spans="1:4" x14ac:dyDescent="0.25">
      <c r="A377">
        <v>17</v>
      </c>
      <c r="B377" t="s">
        <v>1081</v>
      </c>
      <c r="C377">
        <v>10</v>
      </c>
      <c r="D377" t="s">
        <v>1074</v>
      </c>
    </row>
    <row r="378" spans="1:4" x14ac:dyDescent="0.25">
      <c r="A378">
        <v>17</v>
      </c>
      <c r="B378" t="s">
        <v>1081</v>
      </c>
      <c r="C378">
        <v>11</v>
      </c>
      <c r="D378" t="s">
        <v>1075</v>
      </c>
    </row>
    <row r="379" spans="1:4" x14ac:dyDescent="0.25">
      <c r="A379">
        <v>17</v>
      </c>
      <c r="B379" t="s">
        <v>1081</v>
      </c>
      <c r="C379">
        <v>12</v>
      </c>
      <c r="D379" t="s">
        <v>1076</v>
      </c>
    </row>
    <row r="380" spans="1:4" x14ac:dyDescent="0.25">
      <c r="A380">
        <v>17</v>
      </c>
      <c r="B380" t="s">
        <v>1081</v>
      </c>
      <c r="C380">
        <v>13</v>
      </c>
      <c r="D380" t="s">
        <v>1077</v>
      </c>
    </row>
    <row r="381" spans="1:4" x14ac:dyDescent="0.25">
      <c r="A381">
        <v>17</v>
      </c>
      <c r="B381" t="s">
        <v>1081</v>
      </c>
      <c r="C381">
        <v>14</v>
      </c>
      <c r="D381" t="s">
        <v>1078</v>
      </c>
    </row>
    <row r="382" spans="1:4" x14ac:dyDescent="0.25">
      <c r="A382">
        <v>17</v>
      </c>
      <c r="B382" t="s">
        <v>1081</v>
      </c>
      <c r="C382">
        <v>15</v>
      </c>
      <c r="D382" t="s">
        <v>1079</v>
      </c>
    </row>
    <row r="383" spans="1:4" x14ac:dyDescent="0.25">
      <c r="A383">
        <v>17</v>
      </c>
      <c r="B383" t="s">
        <v>1081</v>
      </c>
      <c r="C383">
        <v>16</v>
      </c>
      <c r="D383" t="s">
        <v>1080</v>
      </c>
    </row>
    <row r="384" spans="1:4" x14ac:dyDescent="0.25">
      <c r="A384">
        <v>17</v>
      </c>
      <c r="B384" t="s">
        <v>1081</v>
      </c>
      <c r="C384">
        <v>18</v>
      </c>
      <c r="D384" t="s">
        <v>1082</v>
      </c>
    </row>
    <row r="385" spans="1:4" x14ac:dyDescent="0.25">
      <c r="A385">
        <v>17</v>
      </c>
      <c r="B385" t="s">
        <v>1081</v>
      </c>
      <c r="C385">
        <v>19</v>
      </c>
      <c r="D385" t="s">
        <v>1083</v>
      </c>
    </row>
    <row r="386" spans="1:4" x14ac:dyDescent="0.25">
      <c r="A386">
        <v>17</v>
      </c>
      <c r="B386" t="s">
        <v>1081</v>
      </c>
      <c r="C386">
        <v>20</v>
      </c>
      <c r="D386" t="s">
        <v>1084</v>
      </c>
    </row>
    <row r="387" spans="1:4" x14ac:dyDescent="0.25">
      <c r="A387">
        <v>17</v>
      </c>
      <c r="B387" t="s">
        <v>1081</v>
      </c>
      <c r="C387">
        <v>21</v>
      </c>
      <c r="D387" t="s">
        <v>1085</v>
      </c>
    </row>
    <row r="388" spans="1:4" x14ac:dyDescent="0.25">
      <c r="A388">
        <v>17</v>
      </c>
      <c r="B388" t="s">
        <v>1081</v>
      </c>
      <c r="C388">
        <v>22</v>
      </c>
      <c r="D388" t="s">
        <v>463</v>
      </c>
    </row>
    <row r="389" spans="1:4" x14ac:dyDescent="0.25">
      <c r="A389">
        <v>17</v>
      </c>
      <c r="B389" t="s">
        <v>1081</v>
      </c>
      <c r="C389">
        <v>23</v>
      </c>
      <c r="D389" t="s">
        <v>464</v>
      </c>
    </row>
    <row r="390" spans="1:4" x14ac:dyDescent="0.25">
      <c r="A390">
        <v>17</v>
      </c>
      <c r="B390" t="s">
        <v>1081</v>
      </c>
      <c r="C390">
        <v>24</v>
      </c>
      <c r="D390" t="s">
        <v>465</v>
      </c>
    </row>
    <row r="391" spans="1:4" x14ac:dyDescent="0.25">
      <c r="A391">
        <v>17</v>
      </c>
      <c r="B391" t="s">
        <v>1081</v>
      </c>
      <c r="C391">
        <v>25</v>
      </c>
      <c r="D391" t="s">
        <v>466</v>
      </c>
    </row>
    <row r="392" spans="1:4" x14ac:dyDescent="0.25">
      <c r="A392">
        <v>17</v>
      </c>
      <c r="B392" t="s">
        <v>1081</v>
      </c>
      <c r="C392">
        <v>26</v>
      </c>
      <c r="D392" t="s">
        <v>467</v>
      </c>
    </row>
    <row r="393" spans="1:4" x14ac:dyDescent="0.25">
      <c r="A393">
        <v>17</v>
      </c>
      <c r="B393" t="s">
        <v>1081</v>
      </c>
      <c r="C393">
        <v>27</v>
      </c>
      <c r="D393" t="s">
        <v>468</v>
      </c>
    </row>
    <row r="394" spans="1:4" x14ac:dyDescent="0.25">
      <c r="A394">
        <v>17</v>
      </c>
      <c r="B394" t="s">
        <v>1081</v>
      </c>
      <c r="C394">
        <v>28</v>
      </c>
      <c r="D394" t="s">
        <v>469</v>
      </c>
    </row>
    <row r="395" spans="1:4" x14ac:dyDescent="0.25">
      <c r="A395">
        <v>17</v>
      </c>
      <c r="B395" t="s">
        <v>1081</v>
      </c>
      <c r="C395">
        <v>29</v>
      </c>
      <c r="D395" t="s">
        <v>470</v>
      </c>
    </row>
    <row r="396" spans="1:4" x14ac:dyDescent="0.25">
      <c r="A396">
        <v>17</v>
      </c>
      <c r="B396" t="s">
        <v>1081</v>
      </c>
      <c r="C396">
        <v>30</v>
      </c>
      <c r="D396" t="s">
        <v>471</v>
      </c>
    </row>
    <row r="397" spans="1:4" x14ac:dyDescent="0.25">
      <c r="A397">
        <v>17</v>
      </c>
      <c r="B397" t="s">
        <v>1081</v>
      </c>
      <c r="C397">
        <v>31</v>
      </c>
      <c r="D397" t="s">
        <v>472</v>
      </c>
    </row>
    <row r="398" spans="1:4" x14ac:dyDescent="0.25">
      <c r="A398">
        <v>17</v>
      </c>
      <c r="B398" t="s">
        <v>1081</v>
      </c>
      <c r="C398">
        <v>32</v>
      </c>
      <c r="D398" t="s">
        <v>473</v>
      </c>
    </row>
    <row r="399" spans="1:4" x14ac:dyDescent="0.25">
      <c r="A399">
        <v>17</v>
      </c>
      <c r="B399" t="s">
        <v>1081</v>
      </c>
      <c r="C399">
        <v>33</v>
      </c>
      <c r="D399" t="s">
        <v>474</v>
      </c>
    </row>
    <row r="400" spans="1:4" x14ac:dyDescent="0.25">
      <c r="A400">
        <v>17</v>
      </c>
      <c r="B400" t="s">
        <v>1081</v>
      </c>
      <c r="C400">
        <v>34</v>
      </c>
      <c r="D400" t="s">
        <v>475</v>
      </c>
    </row>
    <row r="401" spans="1:4" x14ac:dyDescent="0.25">
      <c r="A401">
        <v>17</v>
      </c>
      <c r="B401" t="s">
        <v>1081</v>
      </c>
      <c r="C401">
        <v>35</v>
      </c>
      <c r="D401" t="s">
        <v>476</v>
      </c>
    </row>
    <row r="402" spans="1:4" x14ac:dyDescent="0.25">
      <c r="A402">
        <v>17</v>
      </c>
      <c r="B402" t="s">
        <v>1081</v>
      </c>
      <c r="C402">
        <v>36</v>
      </c>
      <c r="D402" t="s">
        <v>477</v>
      </c>
    </row>
    <row r="403" spans="1:4" x14ac:dyDescent="0.25">
      <c r="A403">
        <v>17</v>
      </c>
      <c r="B403" t="s">
        <v>1081</v>
      </c>
      <c r="C403">
        <v>37</v>
      </c>
      <c r="D403" t="s">
        <v>478</v>
      </c>
    </row>
    <row r="404" spans="1:4" x14ac:dyDescent="0.25">
      <c r="A404">
        <v>17</v>
      </c>
      <c r="B404" t="s">
        <v>1081</v>
      </c>
      <c r="C404">
        <v>38</v>
      </c>
      <c r="D404" t="s">
        <v>479</v>
      </c>
    </row>
    <row r="405" spans="1:4" x14ac:dyDescent="0.25">
      <c r="A405">
        <v>17</v>
      </c>
      <c r="B405" t="s">
        <v>1081</v>
      </c>
      <c r="C405">
        <v>39</v>
      </c>
      <c r="D405" t="s">
        <v>480</v>
      </c>
    </row>
    <row r="406" spans="1:4" x14ac:dyDescent="0.25">
      <c r="A406">
        <v>17</v>
      </c>
      <c r="B406" t="s">
        <v>1081</v>
      </c>
      <c r="C406">
        <v>40</v>
      </c>
      <c r="D406" t="s">
        <v>481</v>
      </c>
    </row>
    <row r="407" spans="1:4" x14ac:dyDescent="0.25">
      <c r="A407">
        <v>17</v>
      </c>
      <c r="B407" t="s">
        <v>1081</v>
      </c>
      <c r="C407">
        <v>41</v>
      </c>
      <c r="D407" t="s">
        <v>482</v>
      </c>
    </row>
    <row r="408" spans="1:4" x14ac:dyDescent="0.25">
      <c r="A408">
        <v>17</v>
      </c>
      <c r="B408" t="s">
        <v>1081</v>
      </c>
      <c r="C408">
        <v>42</v>
      </c>
      <c r="D408" t="s">
        <v>483</v>
      </c>
    </row>
    <row r="409" spans="1:4" x14ac:dyDescent="0.25">
      <c r="A409">
        <v>17</v>
      </c>
      <c r="B409" t="s">
        <v>1081</v>
      </c>
      <c r="C409">
        <v>43</v>
      </c>
      <c r="D409" t="s">
        <v>484</v>
      </c>
    </row>
    <row r="410" spans="1:4" x14ac:dyDescent="0.25">
      <c r="A410">
        <v>18</v>
      </c>
      <c r="B410" t="s">
        <v>1082</v>
      </c>
      <c r="C410">
        <v>3</v>
      </c>
      <c r="D410" t="s">
        <v>1070</v>
      </c>
    </row>
    <row r="411" spans="1:4" x14ac:dyDescent="0.25">
      <c r="A411">
        <v>18</v>
      </c>
      <c r="B411" t="s">
        <v>1082</v>
      </c>
      <c r="C411">
        <v>4</v>
      </c>
      <c r="D411" t="s">
        <v>1071</v>
      </c>
    </row>
    <row r="412" spans="1:4" x14ac:dyDescent="0.25">
      <c r="A412">
        <v>18</v>
      </c>
      <c r="B412" t="s">
        <v>1082</v>
      </c>
      <c r="C412">
        <v>5</v>
      </c>
      <c r="D412" t="s">
        <v>460</v>
      </c>
    </row>
    <row r="413" spans="1:4" x14ac:dyDescent="0.25">
      <c r="A413">
        <v>18</v>
      </c>
      <c r="B413" t="s">
        <v>1082</v>
      </c>
      <c r="C413">
        <v>6</v>
      </c>
      <c r="D413" t="s">
        <v>461</v>
      </c>
    </row>
    <row r="414" spans="1:4" x14ac:dyDescent="0.25">
      <c r="A414">
        <v>18</v>
      </c>
      <c r="B414" t="s">
        <v>1082</v>
      </c>
      <c r="C414">
        <v>7</v>
      </c>
      <c r="D414" t="s">
        <v>462</v>
      </c>
    </row>
    <row r="415" spans="1:4" x14ac:dyDescent="0.25">
      <c r="A415">
        <v>18</v>
      </c>
      <c r="B415" t="s">
        <v>1082</v>
      </c>
      <c r="C415">
        <v>8</v>
      </c>
      <c r="D415" t="s">
        <v>1072</v>
      </c>
    </row>
    <row r="416" spans="1:4" x14ac:dyDescent="0.25">
      <c r="A416">
        <v>18</v>
      </c>
      <c r="B416" t="s">
        <v>1082</v>
      </c>
      <c r="C416">
        <v>9</v>
      </c>
      <c r="D416" t="s">
        <v>1073</v>
      </c>
    </row>
    <row r="417" spans="1:4" x14ac:dyDescent="0.25">
      <c r="A417">
        <v>18</v>
      </c>
      <c r="B417" t="s">
        <v>1082</v>
      </c>
      <c r="C417">
        <v>10</v>
      </c>
      <c r="D417" t="s">
        <v>1074</v>
      </c>
    </row>
    <row r="418" spans="1:4" x14ac:dyDescent="0.25">
      <c r="A418">
        <v>18</v>
      </c>
      <c r="B418" t="s">
        <v>1082</v>
      </c>
      <c r="C418">
        <v>12</v>
      </c>
      <c r="D418" t="s">
        <v>1076</v>
      </c>
    </row>
    <row r="419" spans="1:4" x14ac:dyDescent="0.25">
      <c r="A419">
        <v>18</v>
      </c>
      <c r="B419" t="s">
        <v>1082</v>
      </c>
      <c r="C419">
        <v>13</v>
      </c>
      <c r="D419" t="s">
        <v>1077</v>
      </c>
    </row>
    <row r="420" spans="1:4" x14ac:dyDescent="0.25">
      <c r="A420">
        <v>18</v>
      </c>
      <c r="B420" t="s">
        <v>1082</v>
      </c>
      <c r="C420">
        <v>14</v>
      </c>
      <c r="D420" t="s">
        <v>1078</v>
      </c>
    </row>
    <row r="421" spans="1:4" x14ac:dyDescent="0.25">
      <c r="A421">
        <v>18</v>
      </c>
      <c r="B421" t="s">
        <v>1082</v>
      </c>
      <c r="C421">
        <v>15</v>
      </c>
      <c r="D421" t="s">
        <v>1079</v>
      </c>
    </row>
    <row r="422" spans="1:4" x14ac:dyDescent="0.25">
      <c r="A422">
        <v>18</v>
      </c>
      <c r="B422" t="s">
        <v>1082</v>
      </c>
      <c r="C422">
        <v>16</v>
      </c>
      <c r="D422" t="s">
        <v>1080</v>
      </c>
    </row>
    <row r="423" spans="1:4" x14ac:dyDescent="0.25">
      <c r="A423">
        <v>18</v>
      </c>
      <c r="B423" t="s">
        <v>1082</v>
      </c>
      <c r="C423">
        <v>17</v>
      </c>
      <c r="D423" t="s">
        <v>1081</v>
      </c>
    </row>
    <row r="424" spans="1:4" x14ac:dyDescent="0.25">
      <c r="A424">
        <v>18</v>
      </c>
      <c r="B424" t="s">
        <v>1082</v>
      </c>
      <c r="C424">
        <v>20</v>
      </c>
      <c r="D424" t="s">
        <v>1084</v>
      </c>
    </row>
    <row r="425" spans="1:4" x14ac:dyDescent="0.25">
      <c r="A425">
        <v>18</v>
      </c>
      <c r="B425" t="s">
        <v>1082</v>
      </c>
      <c r="C425">
        <v>21</v>
      </c>
      <c r="D425" t="s">
        <v>1085</v>
      </c>
    </row>
    <row r="426" spans="1:4" x14ac:dyDescent="0.25">
      <c r="A426">
        <v>18</v>
      </c>
      <c r="B426" t="s">
        <v>1082</v>
      </c>
      <c r="C426">
        <v>25</v>
      </c>
      <c r="D426" t="s">
        <v>466</v>
      </c>
    </row>
    <row r="427" spans="1:4" x14ac:dyDescent="0.25">
      <c r="A427">
        <v>18</v>
      </c>
      <c r="B427" t="s">
        <v>1082</v>
      </c>
      <c r="C427">
        <v>26</v>
      </c>
      <c r="D427" t="s">
        <v>467</v>
      </c>
    </row>
    <row r="428" spans="1:4" x14ac:dyDescent="0.25">
      <c r="A428">
        <v>18</v>
      </c>
      <c r="B428" t="s">
        <v>1082</v>
      </c>
      <c r="C428">
        <v>27</v>
      </c>
      <c r="D428" t="s">
        <v>468</v>
      </c>
    </row>
    <row r="429" spans="1:4" x14ac:dyDescent="0.25">
      <c r="A429">
        <v>18</v>
      </c>
      <c r="B429" t="s">
        <v>1082</v>
      </c>
      <c r="C429">
        <v>28</v>
      </c>
      <c r="D429" t="s">
        <v>469</v>
      </c>
    </row>
    <row r="430" spans="1:4" x14ac:dyDescent="0.25">
      <c r="A430">
        <v>18</v>
      </c>
      <c r="B430" t="s">
        <v>1082</v>
      </c>
      <c r="C430">
        <v>29</v>
      </c>
      <c r="D430" t="s">
        <v>470</v>
      </c>
    </row>
    <row r="431" spans="1:4" x14ac:dyDescent="0.25">
      <c r="A431">
        <v>18</v>
      </c>
      <c r="B431" t="s">
        <v>1082</v>
      </c>
      <c r="C431">
        <v>30</v>
      </c>
      <c r="D431" t="s">
        <v>471</v>
      </c>
    </row>
    <row r="432" spans="1:4" x14ac:dyDescent="0.25">
      <c r="A432">
        <v>18</v>
      </c>
      <c r="B432" t="s">
        <v>1082</v>
      </c>
      <c r="C432">
        <v>35</v>
      </c>
      <c r="D432" t="s">
        <v>476</v>
      </c>
    </row>
    <row r="433" spans="1:4" x14ac:dyDescent="0.25">
      <c r="A433">
        <v>18</v>
      </c>
      <c r="B433" t="s">
        <v>1082</v>
      </c>
      <c r="C433">
        <v>37</v>
      </c>
      <c r="D433" t="s">
        <v>478</v>
      </c>
    </row>
    <row r="434" spans="1:4" x14ac:dyDescent="0.25">
      <c r="A434">
        <v>18</v>
      </c>
      <c r="B434" t="s">
        <v>1082</v>
      </c>
      <c r="C434">
        <v>38</v>
      </c>
      <c r="D434" t="s">
        <v>479</v>
      </c>
    </row>
    <row r="435" spans="1:4" x14ac:dyDescent="0.25">
      <c r="A435">
        <v>18</v>
      </c>
      <c r="B435" t="s">
        <v>1082</v>
      </c>
      <c r="C435">
        <v>41</v>
      </c>
      <c r="D435" t="s">
        <v>482</v>
      </c>
    </row>
    <row r="436" spans="1:4" x14ac:dyDescent="0.25">
      <c r="A436">
        <v>18</v>
      </c>
      <c r="B436" t="s">
        <v>1082</v>
      </c>
      <c r="C436">
        <v>42</v>
      </c>
      <c r="D436" t="s">
        <v>483</v>
      </c>
    </row>
    <row r="437" spans="1:4" x14ac:dyDescent="0.25">
      <c r="A437">
        <v>18</v>
      </c>
      <c r="B437" t="s">
        <v>1082</v>
      </c>
      <c r="C437">
        <v>43</v>
      </c>
      <c r="D437" t="s">
        <v>484</v>
      </c>
    </row>
    <row r="438" spans="1:4" x14ac:dyDescent="0.25">
      <c r="A438">
        <v>19</v>
      </c>
      <c r="B438" t="s">
        <v>1083</v>
      </c>
      <c r="C438">
        <v>3</v>
      </c>
      <c r="D438" t="s">
        <v>1070</v>
      </c>
    </row>
    <row r="439" spans="1:4" x14ac:dyDescent="0.25">
      <c r="A439">
        <v>19</v>
      </c>
      <c r="B439" t="s">
        <v>1083</v>
      </c>
      <c r="C439">
        <v>4</v>
      </c>
      <c r="D439" t="s">
        <v>1071</v>
      </c>
    </row>
    <row r="440" spans="1:4" x14ac:dyDescent="0.25">
      <c r="A440">
        <v>19</v>
      </c>
      <c r="B440" t="s">
        <v>1083</v>
      </c>
      <c r="C440">
        <v>14</v>
      </c>
      <c r="D440" t="s">
        <v>1078</v>
      </c>
    </row>
    <row r="441" spans="1:4" x14ac:dyDescent="0.25">
      <c r="A441">
        <v>19</v>
      </c>
      <c r="B441" t="s">
        <v>1083</v>
      </c>
      <c r="C441">
        <v>15</v>
      </c>
      <c r="D441" t="s">
        <v>1079</v>
      </c>
    </row>
    <row r="442" spans="1:4" x14ac:dyDescent="0.25">
      <c r="A442">
        <v>19</v>
      </c>
      <c r="B442" t="s">
        <v>1083</v>
      </c>
      <c r="C442">
        <v>16</v>
      </c>
      <c r="D442" t="s">
        <v>1080</v>
      </c>
    </row>
    <row r="443" spans="1:4" x14ac:dyDescent="0.25">
      <c r="A443">
        <v>19</v>
      </c>
      <c r="B443" t="s">
        <v>1083</v>
      </c>
      <c r="C443">
        <v>17</v>
      </c>
      <c r="D443" t="s">
        <v>1081</v>
      </c>
    </row>
    <row r="444" spans="1:4" x14ac:dyDescent="0.25">
      <c r="A444">
        <v>19</v>
      </c>
      <c r="B444" t="s">
        <v>1083</v>
      </c>
      <c r="C444">
        <v>20</v>
      </c>
      <c r="D444" t="s">
        <v>1084</v>
      </c>
    </row>
    <row r="445" spans="1:4" x14ac:dyDescent="0.25">
      <c r="A445">
        <v>19</v>
      </c>
      <c r="B445" t="s">
        <v>1083</v>
      </c>
      <c r="C445">
        <v>21</v>
      </c>
      <c r="D445" t="s">
        <v>1085</v>
      </c>
    </row>
    <row r="446" spans="1:4" x14ac:dyDescent="0.25">
      <c r="A446">
        <v>19</v>
      </c>
      <c r="B446" t="s">
        <v>1083</v>
      </c>
      <c r="C446">
        <v>25</v>
      </c>
      <c r="D446" t="s">
        <v>466</v>
      </c>
    </row>
    <row r="447" spans="1:4" x14ac:dyDescent="0.25">
      <c r="A447">
        <v>19</v>
      </c>
      <c r="B447" t="s">
        <v>1083</v>
      </c>
      <c r="C447">
        <v>26</v>
      </c>
      <c r="D447" t="s">
        <v>467</v>
      </c>
    </row>
    <row r="448" spans="1:4" x14ac:dyDescent="0.25">
      <c r="A448">
        <v>19</v>
      </c>
      <c r="B448" t="s">
        <v>1083</v>
      </c>
      <c r="C448">
        <v>27</v>
      </c>
      <c r="D448" t="s">
        <v>468</v>
      </c>
    </row>
    <row r="449" spans="1:4" x14ac:dyDescent="0.25">
      <c r="A449">
        <v>19</v>
      </c>
      <c r="B449" t="s">
        <v>1083</v>
      </c>
      <c r="C449">
        <v>28</v>
      </c>
      <c r="D449" t="s">
        <v>469</v>
      </c>
    </row>
    <row r="450" spans="1:4" x14ac:dyDescent="0.25">
      <c r="A450">
        <v>19</v>
      </c>
      <c r="B450" t="s">
        <v>1083</v>
      </c>
      <c r="C450">
        <v>29</v>
      </c>
      <c r="D450" t="s">
        <v>470</v>
      </c>
    </row>
    <row r="451" spans="1:4" x14ac:dyDescent="0.25">
      <c r="A451">
        <v>19</v>
      </c>
      <c r="B451" t="s">
        <v>1083</v>
      </c>
      <c r="C451">
        <v>30</v>
      </c>
      <c r="D451" t="s">
        <v>471</v>
      </c>
    </row>
    <row r="452" spans="1:4" x14ac:dyDescent="0.25">
      <c r="A452">
        <v>19</v>
      </c>
      <c r="B452" t="s">
        <v>1083</v>
      </c>
      <c r="C452">
        <v>35</v>
      </c>
      <c r="D452" t="s">
        <v>476</v>
      </c>
    </row>
    <row r="453" spans="1:4" x14ac:dyDescent="0.25">
      <c r="A453">
        <v>19</v>
      </c>
      <c r="B453" t="s">
        <v>1083</v>
      </c>
      <c r="C453">
        <v>37</v>
      </c>
      <c r="D453" t="s">
        <v>478</v>
      </c>
    </row>
    <row r="454" spans="1:4" x14ac:dyDescent="0.25">
      <c r="A454">
        <v>19</v>
      </c>
      <c r="B454" t="s">
        <v>1083</v>
      </c>
      <c r="C454">
        <v>42</v>
      </c>
      <c r="D454" t="s">
        <v>483</v>
      </c>
    </row>
    <row r="455" spans="1:4" x14ac:dyDescent="0.25">
      <c r="A455">
        <v>19</v>
      </c>
      <c r="B455" t="s">
        <v>1083</v>
      </c>
      <c r="C455">
        <v>43</v>
      </c>
      <c r="D455" t="s">
        <v>484</v>
      </c>
    </row>
    <row r="456" spans="1:4" x14ac:dyDescent="0.25">
      <c r="A456">
        <v>20</v>
      </c>
      <c r="B456" t="s">
        <v>1084</v>
      </c>
      <c r="C456">
        <v>4</v>
      </c>
      <c r="D456" t="s">
        <v>1071</v>
      </c>
    </row>
    <row r="457" spans="1:4" x14ac:dyDescent="0.25">
      <c r="A457">
        <v>20</v>
      </c>
      <c r="B457" t="s">
        <v>1084</v>
      </c>
      <c r="C457">
        <v>5</v>
      </c>
      <c r="D457" t="s">
        <v>460</v>
      </c>
    </row>
    <row r="458" spans="1:4" x14ac:dyDescent="0.25">
      <c r="A458">
        <v>20</v>
      </c>
      <c r="B458" t="s">
        <v>1084</v>
      </c>
      <c r="C458">
        <v>6</v>
      </c>
      <c r="D458" t="s">
        <v>461</v>
      </c>
    </row>
    <row r="459" spans="1:4" x14ac:dyDescent="0.25">
      <c r="A459">
        <v>20</v>
      </c>
      <c r="B459" t="s">
        <v>1084</v>
      </c>
      <c r="C459">
        <v>8</v>
      </c>
      <c r="D459" t="s">
        <v>1072</v>
      </c>
    </row>
    <row r="460" spans="1:4" x14ac:dyDescent="0.25">
      <c r="A460">
        <v>20</v>
      </c>
      <c r="B460" t="s">
        <v>1084</v>
      </c>
      <c r="C460">
        <v>9</v>
      </c>
      <c r="D460" t="s">
        <v>1073</v>
      </c>
    </row>
    <row r="461" spans="1:4" x14ac:dyDescent="0.25">
      <c r="A461">
        <v>20</v>
      </c>
      <c r="B461" t="s">
        <v>1084</v>
      </c>
      <c r="C461">
        <v>10</v>
      </c>
      <c r="D461" t="s">
        <v>1074</v>
      </c>
    </row>
    <row r="462" spans="1:4" x14ac:dyDescent="0.25">
      <c r="A462">
        <v>20</v>
      </c>
      <c r="B462" t="s">
        <v>1084</v>
      </c>
      <c r="C462">
        <v>11</v>
      </c>
      <c r="D462" t="s">
        <v>1075</v>
      </c>
    </row>
    <row r="463" spans="1:4" x14ac:dyDescent="0.25">
      <c r="A463">
        <v>20</v>
      </c>
      <c r="B463" t="s">
        <v>1084</v>
      </c>
      <c r="C463">
        <v>12</v>
      </c>
      <c r="D463" t="s">
        <v>1076</v>
      </c>
    </row>
    <row r="464" spans="1:4" x14ac:dyDescent="0.25">
      <c r="A464">
        <v>20</v>
      </c>
      <c r="B464" t="s">
        <v>1084</v>
      </c>
      <c r="C464">
        <v>13</v>
      </c>
      <c r="D464" t="s">
        <v>1077</v>
      </c>
    </row>
    <row r="465" spans="1:4" x14ac:dyDescent="0.25">
      <c r="A465">
        <v>20</v>
      </c>
      <c r="B465" t="s">
        <v>1084</v>
      </c>
      <c r="C465">
        <v>17</v>
      </c>
      <c r="D465" t="s">
        <v>1081</v>
      </c>
    </row>
    <row r="466" spans="1:4" x14ac:dyDescent="0.25">
      <c r="A466">
        <v>20</v>
      </c>
      <c r="B466" t="s">
        <v>1084</v>
      </c>
      <c r="C466">
        <v>18</v>
      </c>
      <c r="D466" t="s">
        <v>1082</v>
      </c>
    </row>
    <row r="467" spans="1:4" x14ac:dyDescent="0.25">
      <c r="A467">
        <v>20</v>
      </c>
      <c r="B467" t="s">
        <v>1084</v>
      </c>
      <c r="C467">
        <v>19</v>
      </c>
      <c r="D467" t="s">
        <v>1083</v>
      </c>
    </row>
    <row r="468" spans="1:4" x14ac:dyDescent="0.25">
      <c r="A468">
        <v>20</v>
      </c>
      <c r="B468" t="s">
        <v>1084</v>
      </c>
      <c r="C468">
        <v>22</v>
      </c>
      <c r="D468" t="s">
        <v>463</v>
      </c>
    </row>
    <row r="469" spans="1:4" x14ac:dyDescent="0.25">
      <c r="A469">
        <v>20</v>
      </c>
      <c r="B469" t="s">
        <v>1084</v>
      </c>
      <c r="C469">
        <v>23</v>
      </c>
      <c r="D469" t="s">
        <v>464</v>
      </c>
    </row>
    <row r="470" spans="1:4" x14ac:dyDescent="0.25">
      <c r="A470">
        <v>20</v>
      </c>
      <c r="B470" t="s">
        <v>1084</v>
      </c>
      <c r="C470">
        <v>24</v>
      </c>
      <c r="D470" t="s">
        <v>465</v>
      </c>
    </row>
    <row r="471" spans="1:4" x14ac:dyDescent="0.25">
      <c r="A471">
        <v>20</v>
      </c>
      <c r="B471" t="s">
        <v>1084</v>
      </c>
      <c r="C471">
        <v>28</v>
      </c>
      <c r="D471" t="s">
        <v>469</v>
      </c>
    </row>
    <row r="472" spans="1:4" x14ac:dyDescent="0.25">
      <c r="A472">
        <v>20</v>
      </c>
      <c r="B472" t="s">
        <v>1084</v>
      </c>
      <c r="C472">
        <v>29</v>
      </c>
      <c r="D472" t="s">
        <v>470</v>
      </c>
    </row>
    <row r="473" spans="1:4" x14ac:dyDescent="0.25">
      <c r="A473">
        <v>20</v>
      </c>
      <c r="B473" t="s">
        <v>1084</v>
      </c>
      <c r="C473">
        <v>31</v>
      </c>
      <c r="D473" t="s">
        <v>472</v>
      </c>
    </row>
    <row r="474" spans="1:4" x14ac:dyDescent="0.25">
      <c r="A474">
        <v>20</v>
      </c>
      <c r="B474" t="s">
        <v>1084</v>
      </c>
      <c r="C474">
        <v>32</v>
      </c>
      <c r="D474" t="s">
        <v>473</v>
      </c>
    </row>
    <row r="475" spans="1:4" x14ac:dyDescent="0.25">
      <c r="A475">
        <v>20</v>
      </c>
      <c r="B475" t="s">
        <v>1084</v>
      </c>
      <c r="C475">
        <v>33</v>
      </c>
      <c r="D475" t="s">
        <v>474</v>
      </c>
    </row>
    <row r="476" spans="1:4" x14ac:dyDescent="0.25">
      <c r="A476">
        <v>20</v>
      </c>
      <c r="B476" t="s">
        <v>1084</v>
      </c>
      <c r="C476">
        <v>34</v>
      </c>
      <c r="D476" t="s">
        <v>475</v>
      </c>
    </row>
    <row r="477" spans="1:4" x14ac:dyDescent="0.25">
      <c r="A477">
        <v>20</v>
      </c>
      <c r="B477" t="s">
        <v>1084</v>
      </c>
      <c r="C477">
        <v>36</v>
      </c>
      <c r="D477" t="s">
        <v>477</v>
      </c>
    </row>
    <row r="478" spans="1:4" x14ac:dyDescent="0.25">
      <c r="A478">
        <v>20</v>
      </c>
      <c r="B478" t="s">
        <v>1084</v>
      </c>
      <c r="C478">
        <v>37</v>
      </c>
      <c r="D478" t="s">
        <v>478</v>
      </c>
    </row>
    <row r="479" spans="1:4" x14ac:dyDescent="0.25">
      <c r="A479">
        <v>20</v>
      </c>
      <c r="B479" t="s">
        <v>1084</v>
      </c>
      <c r="C479">
        <v>38</v>
      </c>
      <c r="D479" t="s">
        <v>479</v>
      </c>
    </row>
    <row r="480" spans="1:4" x14ac:dyDescent="0.25">
      <c r="A480">
        <v>20</v>
      </c>
      <c r="B480" t="s">
        <v>1084</v>
      </c>
      <c r="C480">
        <v>39</v>
      </c>
      <c r="D480" t="s">
        <v>480</v>
      </c>
    </row>
    <row r="481" spans="1:4" x14ac:dyDescent="0.25">
      <c r="A481">
        <v>20</v>
      </c>
      <c r="B481" t="s">
        <v>1084</v>
      </c>
      <c r="C481">
        <v>40</v>
      </c>
      <c r="D481" t="s">
        <v>481</v>
      </c>
    </row>
    <row r="482" spans="1:4" x14ac:dyDescent="0.25">
      <c r="A482">
        <v>20</v>
      </c>
      <c r="B482" t="s">
        <v>1084</v>
      </c>
      <c r="C482">
        <v>41</v>
      </c>
      <c r="D482" t="s">
        <v>482</v>
      </c>
    </row>
    <row r="483" spans="1:4" x14ac:dyDescent="0.25">
      <c r="A483">
        <v>20</v>
      </c>
      <c r="B483" t="s">
        <v>1084</v>
      </c>
      <c r="C483">
        <v>43</v>
      </c>
      <c r="D483" t="s">
        <v>484</v>
      </c>
    </row>
    <row r="484" spans="1:4" x14ac:dyDescent="0.25">
      <c r="A484">
        <v>21</v>
      </c>
      <c r="B484" t="s">
        <v>1085</v>
      </c>
      <c r="C484">
        <v>4</v>
      </c>
      <c r="D484" t="s">
        <v>1071</v>
      </c>
    </row>
    <row r="485" spans="1:4" x14ac:dyDescent="0.25">
      <c r="A485">
        <v>21</v>
      </c>
      <c r="B485" t="s">
        <v>1085</v>
      </c>
      <c r="C485">
        <v>5</v>
      </c>
      <c r="D485" t="s">
        <v>460</v>
      </c>
    </row>
    <row r="486" spans="1:4" x14ac:dyDescent="0.25">
      <c r="A486">
        <v>21</v>
      </c>
      <c r="B486" t="s">
        <v>1085</v>
      </c>
      <c r="C486">
        <v>6</v>
      </c>
      <c r="D486" t="s">
        <v>461</v>
      </c>
    </row>
    <row r="487" spans="1:4" x14ac:dyDescent="0.25">
      <c r="A487">
        <v>21</v>
      </c>
      <c r="B487" t="s">
        <v>1085</v>
      </c>
      <c r="C487">
        <v>8</v>
      </c>
      <c r="D487" t="s">
        <v>1072</v>
      </c>
    </row>
    <row r="488" spans="1:4" x14ac:dyDescent="0.25">
      <c r="A488">
        <v>21</v>
      </c>
      <c r="B488" t="s">
        <v>1085</v>
      </c>
      <c r="C488">
        <v>9</v>
      </c>
      <c r="D488" t="s">
        <v>1073</v>
      </c>
    </row>
    <row r="489" spans="1:4" x14ac:dyDescent="0.25">
      <c r="A489">
        <v>21</v>
      </c>
      <c r="B489" t="s">
        <v>1085</v>
      </c>
      <c r="C489">
        <v>10</v>
      </c>
      <c r="D489" t="s">
        <v>1074</v>
      </c>
    </row>
    <row r="490" spans="1:4" x14ac:dyDescent="0.25">
      <c r="A490">
        <v>21</v>
      </c>
      <c r="B490" t="s">
        <v>1085</v>
      </c>
      <c r="C490">
        <v>11</v>
      </c>
      <c r="D490" t="s">
        <v>1075</v>
      </c>
    </row>
    <row r="491" spans="1:4" x14ac:dyDescent="0.25">
      <c r="A491">
        <v>21</v>
      </c>
      <c r="B491" t="s">
        <v>1085</v>
      </c>
      <c r="C491">
        <v>12</v>
      </c>
      <c r="D491" t="s">
        <v>1076</v>
      </c>
    </row>
    <row r="492" spans="1:4" x14ac:dyDescent="0.25">
      <c r="A492">
        <v>21</v>
      </c>
      <c r="B492" t="s">
        <v>1085</v>
      </c>
      <c r="C492">
        <v>13</v>
      </c>
      <c r="D492" t="s">
        <v>1077</v>
      </c>
    </row>
    <row r="493" spans="1:4" x14ac:dyDescent="0.25">
      <c r="A493">
        <v>21</v>
      </c>
      <c r="B493" t="s">
        <v>1085</v>
      </c>
      <c r="C493">
        <v>17</v>
      </c>
      <c r="D493" t="s">
        <v>1081</v>
      </c>
    </row>
    <row r="494" spans="1:4" x14ac:dyDescent="0.25">
      <c r="A494">
        <v>21</v>
      </c>
      <c r="B494" t="s">
        <v>1085</v>
      </c>
      <c r="C494">
        <v>18</v>
      </c>
      <c r="D494" t="s">
        <v>1082</v>
      </c>
    </row>
    <row r="495" spans="1:4" x14ac:dyDescent="0.25">
      <c r="A495">
        <v>21</v>
      </c>
      <c r="B495" t="s">
        <v>1085</v>
      </c>
      <c r="C495">
        <v>19</v>
      </c>
      <c r="D495" t="s">
        <v>1083</v>
      </c>
    </row>
    <row r="496" spans="1:4" x14ac:dyDescent="0.25">
      <c r="A496">
        <v>21</v>
      </c>
      <c r="B496" t="s">
        <v>1085</v>
      </c>
      <c r="C496">
        <v>22</v>
      </c>
      <c r="D496" t="s">
        <v>463</v>
      </c>
    </row>
    <row r="497" spans="1:4" x14ac:dyDescent="0.25">
      <c r="A497">
        <v>21</v>
      </c>
      <c r="B497" t="s">
        <v>1085</v>
      </c>
      <c r="C497">
        <v>23</v>
      </c>
      <c r="D497" t="s">
        <v>464</v>
      </c>
    </row>
    <row r="498" spans="1:4" x14ac:dyDescent="0.25">
      <c r="A498">
        <v>21</v>
      </c>
      <c r="B498" t="s">
        <v>1085</v>
      </c>
      <c r="C498">
        <v>24</v>
      </c>
      <c r="D498" t="s">
        <v>465</v>
      </c>
    </row>
    <row r="499" spans="1:4" x14ac:dyDescent="0.25">
      <c r="A499">
        <v>21</v>
      </c>
      <c r="B499" t="s">
        <v>1085</v>
      </c>
      <c r="C499">
        <v>28</v>
      </c>
      <c r="D499" t="s">
        <v>469</v>
      </c>
    </row>
    <row r="500" spans="1:4" x14ac:dyDescent="0.25">
      <c r="A500">
        <v>21</v>
      </c>
      <c r="B500" t="s">
        <v>1085</v>
      </c>
      <c r="C500">
        <v>29</v>
      </c>
      <c r="D500" t="s">
        <v>470</v>
      </c>
    </row>
    <row r="501" spans="1:4" x14ac:dyDescent="0.25">
      <c r="A501">
        <v>21</v>
      </c>
      <c r="B501" t="s">
        <v>1085</v>
      </c>
      <c r="C501">
        <v>31</v>
      </c>
      <c r="D501" t="s">
        <v>472</v>
      </c>
    </row>
    <row r="502" spans="1:4" x14ac:dyDescent="0.25">
      <c r="A502">
        <v>21</v>
      </c>
      <c r="B502" t="s">
        <v>1085</v>
      </c>
      <c r="C502">
        <v>32</v>
      </c>
      <c r="D502" t="s">
        <v>473</v>
      </c>
    </row>
    <row r="503" spans="1:4" x14ac:dyDescent="0.25">
      <c r="A503">
        <v>21</v>
      </c>
      <c r="B503" t="s">
        <v>1085</v>
      </c>
      <c r="C503">
        <v>33</v>
      </c>
      <c r="D503" t="s">
        <v>474</v>
      </c>
    </row>
    <row r="504" spans="1:4" x14ac:dyDescent="0.25">
      <c r="A504">
        <v>21</v>
      </c>
      <c r="B504" t="s">
        <v>1085</v>
      </c>
      <c r="C504">
        <v>34</v>
      </c>
      <c r="D504" t="s">
        <v>475</v>
      </c>
    </row>
    <row r="505" spans="1:4" x14ac:dyDescent="0.25">
      <c r="A505">
        <v>21</v>
      </c>
      <c r="B505" t="s">
        <v>1085</v>
      </c>
      <c r="C505">
        <v>36</v>
      </c>
      <c r="D505" t="s">
        <v>477</v>
      </c>
    </row>
    <row r="506" spans="1:4" x14ac:dyDescent="0.25">
      <c r="A506">
        <v>21</v>
      </c>
      <c r="B506" t="s">
        <v>1085</v>
      </c>
      <c r="C506">
        <v>37</v>
      </c>
      <c r="D506" t="s">
        <v>478</v>
      </c>
    </row>
    <row r="507" spans="1:4" x14ac:dyDescent="0.25">
      <c r="A507">
        <v>21</v>
      </c>
      <c r="B507" t="s">
        <v>1085</v>
      </c>
      <c r="C507">
        <v>38</v>
      </c>
      <c r="D507" t="s">
        <v>479</v>
      </c>
    </row>
    <row r="508" spans="1:4" x14ac:dyDescent="0.25">
      <c r="A508">
        <v>21</v>
      </c>
      <c r="B508" t="s">
        <v>1085</v>
      </c>
      <c r="C508">
        <v>39</v>
      </c>
      <c r="D508" t="s">
        <v>480</v>
      </c>
    </row>
    <row r="509" spans="1:4" x14ac:dyDescent="0.25">
      <c r="A509">
        <v>21</v>
      </c>
      <c r="B509" t="s">
        <v>1085</v>
      </c>
      <c r="C509">
        <v>40</v>
      </c>
      <c r="D509" t="s">
        <v>481</v>
      </c>
    </row>
    <row r="510" spans="1:4" x14ac:dyDescent="0.25">
      <c r="A510">
        <v>21</v>
      </c>
      <c r="B510" t="s">
        <v>1085</v>
      </c>
      <c r="C510">
        <v>41</v>
      </c>
      <c r="D510" t="s">
        <v>482</v>
      </c>
    </row>
    <row r="511" spans="1:4" x14ac:dyDescent="0.25">
      <c r="A511">
        <v>21</v>
      </c>
      <c r="B511" t="s">
        <v>1085</v>
      </c>
      <c r="C511">
        <v>43</v>
      </c>
      <c r="D511" t="s">
        <v>484</v>
      </c>
    </row>
    <row r="512" spans="1:4" x14ac:dyDescent="0.25">
      <c r="A512">
        <v>22</v>
      </c>
      <c r="B512" t="s">
        <v>463</v>
      </c>
      <c r="C512">
        <v>3</v>
      </c>
      <c r="D512" t="s">
        <v>1070</v>
      </c>
    </row>
    <row r="513" spans="1:4" x14ac:dyDescent="0.25">
      <c r="A513">
        <v>22</v>
      </c>
      <c r="B513" t="s">
        <v>463</v>
      </c>
      <c r="C513">
        <v>4</v>
      </c>
      <c r="D513" t="s">
        <v>1071</v>
      </c>
    </row>
    <row r="514" spans="1:4" x14ac:dyDescent="0.25">
      <c r="A514">
        <v>22</v>
      </c>
      <c r="B514" t="s">
        <v>463</v>
      </c>
      <c r="C514">
        <v>14</v>
      </c>
      <c r="D514" t="s">
        <v>1078</v>
      </c>
    </row>
    <row r="515" spans="1:4" x14ac:dyDescent="0.25">
      <c r="A515">
        <v>22</v>
      </c>
      <c r="B515" t="s">
        <v>463</v>
      </c>
      <c r="C515">
        <v>15</v>
      </c>
      <c r="D515" t="s">
        <v>1079</v>
      </c>
    </row>
    <row r="516" spans="1:4" x14ac:dyDescent="0.25">
      <c r="A516">
        <v>22</v>
      </c>
      <c r="B516" t="s">
        <v>463</v>
      </c>
      <c r="C516">
        <v>16</v>
      </c>
      <c r="D516" t="s">
        <v>1080</v>
      </c>
    </row>
    <row r="517" spans="1:4" x14ac:dyDescent="0.25">
      <c r="A517">
        <v>22</v>
      </c>
      <c r="B517" t="s">
        <v>463</v>
      </c>
      <c r="C517">
        <v>17</v>
      </c>
      <c r="D517" t="s">
        <v>1081</v>
      </c>
    </row>
    <row r="518" spans="1:4" x14ac:dyDescent="0.25">
      <c r="A518">
        <v>22</v>
      </c>
      <c r="B518" t="s">
        <v>463</v>
      </c>
      <c r="C518">
        <v>20</v>
      </c>
      <c r="D518" t="s">
        <v>1084</v>
      </c>
    </row>
    <row r="519" spans="1:4" x14ac:dyDescent="0.25">
      <c r="A519">
        <v>22</v>
      </c>
      <c r="B519" t="s">
        <v>463</v>
      </c>
      <c r="C519">
        <v>21</v>
      </c>
      <c r="D519" t="s">
        <v>1085</v>
      </c>
    </row>
    <row r="520" spans="1:4" x14ac:dyDescent="0.25">
      <c r="A520">
        <v>22</v>
      </c>
      <c r="B520" t="s">
        <v>463</v>
      </c>
      <c r="C520">
        <v>25</v>
      </c>
      <c r="D520" t="s">
        <v>466</v>
      </c>
    </row>
    <row r="521" spans="1:4" x14ac:dyDescent="0.25">
      <c r="A521">
        <v>22</v>
      </c>
      <c r="B521" t="s">
        <v>463</v>
      </c>
      <c r="C521">
        <v>26</v>
      </c>
      <c r="D521" t="s">
        <v>467</v>
      </c>
    </row>
    <row r="522" spans="1:4" x14ac:dyDescent="0.25">
      <c r="A522">
        <v>22</v>
      </c>
      <c r="B522" t="s">
        <v>463</v>
      </c>
      <c r="C522">
        <v>27</v>
      </c>
      <c r="D522" t="s">
        <v>468</v>
      </c>
    </row>
    <row r="523" spans="1:4" x14ac:dyDescent="0.25">
      <c r="A523">
        <v>22</v>
      </c>
      <c r="B523" t="s">
        <v>463</v>
      </c>
      <c r="C523">
        <v>30</v>
      </c>
      <c r="D523" t="s">
        <v>471</v>
      </c>
    </row>
    <row r="524" spans="1:4" x14ac:dyDescent="0.25">
      <c r="A524">
        <v>22</v>
      </c>
      <c r="B524" t="s">
        <v>463</v>
      </c>
      <c r="C524">
        <v>35</v>
      </c>
      <c r="D524" t="s">
        <v>476</v>
      </c>
    </row>
    <row r="525" spans="1:4" x14ac:dyDescent="0.25">
      <c r="A525">
        <v>22</v>
      </c>
      <c r="B525" t="s">
        <v>463</v>
      </c>
      <c r="C525">
        <v>42</v>
      </c>
      <c r="D525" t="s">
        <v>483</v>
      </c>
    </row>
    <row r="526" spans="1:4" x14ac:dyDescent="0.25">
      <c r="A526">
        <v>23</v>
      </c>
      <c r="B526" t="s">
        <v>464</v>
      </c>
      <c r="C526">
        <v>3</v>
      </c>
      <c r="D526" t="s">
        <v>1070</v>
      </c>
    </row>
    <row r="527" spans="1:4" x14ac:dyDescent="0.25">
      <c r="A527">
        <v>23</v>
      </c>
      <c r="B527" t="s">
        <v>464</v>
      </c>
      <c r="C527">
        <v>4</v>
      </c>
      <c r="D527" t="s">
        <v>1071</v>
      </c>
    </row>
    <row r="528" spans="1:4" x14ac:dyDescent="0.25">
      <c r="A528">
        <v>23</v>
      </c>
      <c r="B528" t="s">
        <v>464</v>
      </c>
      <c r="C528">
        <v>14</v>
      </c>
      <c r="D528" t="s">
        <v>1078</v>
      </c>
    </row>
    <row r="529" spans="1:4" x14ac:dyDescent="0.25">
      <c r="A529">
        <v>23</v>
      </c>
      <c r="B529" t="s">
        <v>464</v>
      </c>
      <c r="C529">
        <v>15</v>
      </c>
      <c r="D529" t="s">
        <v>1079</v>
      </c>
    </row>
    <row r="530" spans="1:4" x14ac:dyDescent="0.25">
      <c r="A530">
        <v>23</v>
      </c>
      <c r="B530" t="s">
        <v>464</v>
      </c>
      <c r="C530">
        <v>16</v>
      </c>
      <c r="D530" t="s">
        <v>1080</v>
      </c>
    </row>
    <row r="531" spans="1:4" x14ac:dyDescent="0.25">
      <c r="A531">
        <v>23</v>
      </c>
      <c r="B531" t="s">
        <v>464</v>
      </c>
      <c r="C531">
        <v>17</v>
      </c>
      <c r="D531" t="s">
        <v>1081</v>
      </c>
    </row>
    <row r="532" spans="1:4" x14ac:dyDescent="0.25">
      <c r="A532">
        <v>23</v>
      </c>
      <c r="B532" t="s">
        <v>464</v>
      </c>
      <c r="C532">
        <v>20</v>
      </c>
      <c r="D532" t="s">
        <v>1084</v>
      </c>
    </row>
    <row r="533" spans="1:4" x14ac:dyDescent="0.25">
      <c r="A533">
        <v>23</v>
      </c>
      <c r="B533" t="s">
        <v>464</v>
      </c>
      <c r="C533">
        <v>21</v>
      </c>
      <c r="D533" t="s">
        <v>1085</v>
      </c>
    </row>
    <row r="534" spans="1:4" x14ac:dyDescent="0.25">
      <c r="A534">
        <v>23</v>
      </c>
      <c r="B534" t="s">
        <v>464</v>
      </c>
      <c r="C534">
        <v>25</v>
      </c>
      <c r="D534" t="s">
        <v>466</v>
      </c>
    </row>
    <row r="535" spans="1:4" x14ac:dyDescent="0.25">
      <c r="A535">
        <v>23</v>
      </c>
      <c r="B535" t="s">
        <v>464</v>
      </c>
      <c r="C535">
        <v>26</v>
      </c>
      <c r="D535" t="s">
        <v>467</v>
      </c>
    </row>
    <row r="536" spans="1:4" x14ac:dyDescent="0.25">
      <c r="A536">
        <v>23</v>
      </c>
      <c r="B536" t="s">
        <v>464</v>
      </c>
      <c r="C536">
        <v>27</v>
      </c>
      <c r="D536" t="s">
        <v>468</v>
      </c>
    </row>
    <row r="537" spans="1:4" x14ac:dyDescent="0.25">
      <c r="A537">
        <v>23</v>
      </c>
      <c r="B537" t="s">
        <v>464</v>
      </c>
      <c r="C537">
        <v>30</v>
      </c>
      <c r="D537" t="s">
        <v>471</v>
      </c>
    </row>
    <row r="538" spans="1:4" x14ac:dyDescent="0.25">
      <c r="A538">
        <v>23</v>
      </c>
      <c r="B538" t="s">
        <v>464</v>
      </c>
      <c r="C538">
        <v>35</v>
      </c>
      <c r="D538" t="s">
        <v>476</v>
      </c>
    </row>
    <row r="539" spans="1:4" x14ac:dyDescent="0.25">
      <c r="A539">
        <v>23</v>
      </c>
      <c r="B539" t="s">
        <v>464</v>
      </c>
      <c r="C539">
        <v>42</v>
      </c>
      <c r="D539" t="s">
        <v>483</v>
      </c>
    </row>
    <row r="540" spans="1:4" x14ac:dyDescent="0.25">
      <c r="A540">
        <v>24</v>
      </c>
      <c r="B540" t="s">
        <v>465</v>
      </c>
      <c r="C540">
        <v>3</v>
      </c>
      <c r="D540" t="s">
        <v>1070</v>
      </c>
    </row>
    <row r="541" spans="1:4" x14ac:dyDescent="0.25">
      <c r="A541">
        <v>24</v>
      </c>
      <c r="B541" t="s">
        <v>465</v>
      </c>
      <c r="C541">
        <v>4</v>
      </c>
      <c r="D541" t="s">
        <v>1071</v>
      </c>
    </row>
    <row r="542" spans="1:4" x14ac:dyDescent="0.25">
      <c r="A542">
        <v>24</v>
      </c>
      <c r="B542" t="s">
        <v>465</v>
      </c>
      <c r="C542">
        <v>14</v>
      </c>
      <c r="D542" t="s">
        <v>1078</v>
      </c>
    </row>
    <row r="543" spans="1:4" x14ac:dyDescent="0.25">
      <c r="A543">
        <v>24</v>
      </c>
      <c r="B543" t="s">
        <v>465</v>
      </c>
      <c r="C543">
        <v>15</v>
      </c>
      <c r="D543" t="s">
        <v>1079</v>
      </c>
    </row>
    <row r="544" spans="1:4" x14ac:dyDescent="0.25">
      <c r="A544">
        <v>24</v>
      </c>
      <c r="B544" t="s">
        <v>465</v>
      </c>
      <c r="C544">
        <v>16</v>
      </c>
      <c r="D544" t="s">
        <v>1080</v>
      </c>
    </row>
    <row r="545" spans="1:4" x14ac:dyDescent="0.25">
      <c r="A545">
        <v>24</v>
      </c>
      <c r="B545" t="s">
        <v>465</v>
      </c>
      <c r="C545">
        <v>17</v>
      </c>
      <c r="D545" t="s">
        <v>1081</v>
      </c>
    </row>
    <row r="546" spans="1:4" x14ac:dyDescent="0.25">
      <c r="A546">
        <v>24</v>
      </c>
      <c r="B546" t="s">
        <v>465</v>
      </c>
      <c r="C546">
        <v>20</v>
      </c>
      <c r="D546" t="s">
        <v>1084</v>
      </c>
    </row>
    <row r="547" spans="1:4" x14ac:dyDescent="0.25">
      <c r="A547">
        <v>24</v>
      </c>
      <c r="B547" t="s">
        <v>465</v>
      </c>
      <c r="C547">
        <v>21</v>
      </c>
      <c r="D547" t="s">
        <v>1085</v>
      </c>
    </row>
    <row r="548" spans="1:4" x14ac:dyDescent="0.25">
      <c r="A548">
        <v>24</v>
      </c>
      <c r="B548" t="s">
        <v>465</v>
      </c>
      <c r="C548">
        <v>25</v>
      </c>
      <c r="D548" t="s">
        <v>466</v>
      </c>
    </row>
    <row r="549" spans="1:4" x14ac:dyDescent="0.25">
      <c r="A549">
        <v>24</v>
      </c>
      <c r="B549" t="s">
        <v>465</v>
      </c>
      <c r="C549">
        <v>27</v>
      </c>
      <c r="D549" t="s">
        <v>468</v>
      </c>
    </row>
    <row r="550" spans="1:4" x14ac:dyDescent="0.25">
      <c r="A550">
        <v>24</v>
      </c>
      <c r="B550" t="s">
        <v>465</v>
      </c>
      <c r="C550">
        <v>28</v>
      </c>
      <c r="D550" t="s">
        <v>469</v>
      </c>
    </row>
    <row r="551" spans="1:4" x14ac:dyDescent="0.25">
      <c r="A551">
        <v>24</v>
      </c>
      <c r="B551" t="s">
        <v>465</v>
      </c>
      <c r="C551">
        <v>29</v>
      </c>
      <c r="D551" t="s">
        <v>470</v>
      </c>
    </row>
    <row r="552" spans="1:4" x14ac:dyDescent="0.25">
      <c r="A552">
        <v>24</v>
      </c>
      <c r="B552" t="s">
        <v>465</v>
      </c>
      <c r="C552">
        <v>30</v>
      </c>
      <c r="D552" t="s">
        <v>471</v>
      </c>
    </row>
    <row r="553" spans="1:4" x14ac:dyDescent="0.25">
      <c r="A553">
        <v>24</v>
      </c>
      <c r="B553" t="s">
        <v>465</v>
      </c>
      <c r="C553">
        <v>37</v>
      </c>
      <c r="D553" t="s">
        <v>478</v>
      </c>
    </row>
    <row r="554" spans="1:4" x14ac:dyDescent="0.25">
      <c r="A554">
        <v>24</v>
      </c>
      <c r="B554" t="s">
        <v>465</v>
      </c>
      <c r="C554">
        <v>42</v>
      </c>
      <c r="D554" t="s">
        <v>483</v>
      </c>
    </row>
    <row r="555" spans="1:4" x14ac:dyDescent="0.25">
      <c r="A555">
        <v>24</v>
      </c>
      <c r="B555" t="s">
        <v>465</v>
      </c>
      <c r="C555">
        <v>43</v>
      </c>
      <c r="D555" t="s">
        <v>484</v>
      </c>
    </row>
    <row r="556" spans="1:4" x14ac:dyDescent="0.25">
      <c r="A556">
        <v>25</v>
      </c>
      <c r="B556" t="s">
        <v>466</v>
      </c>
      <c r="C556">
        <v>4</v>
      </c>
      <c r="D556" t="s">
        <v>1071</v>
      </c>
    </row>
    <row r="557" spans="1:4" x14ac:dyDescent="0.25">
      <c r="A557">
        <v>25</v>
      </c>
      <c r="B557" t="s">
        <v>466</v>
      </c>
      <c r="C557">
        <v>5</v>
      </c>
      <c r="D557" t="s">
        <v>460</v>
      </c>
    </row>
    <row r="558" spans="1:4" x14ac:dyDescent="0.25">
      <c r="A558">
        <v>25</v>
      </c>
      <c r="B558" t="s">
        <v>466</v>
      </c>
      <c r="C558">
        <v>6</v>
      </c>
      <c r="D558" t="s">
        <v>461</v>
      </c>
    </row>
    <row r="559" spans="1:4" x14ac:dyDescent="0.25">
      <c r="A559">
        <v>25</v>
      </c>
      <c r="B559" t="s">
        <v>466</v>
      </c>
      <c r="C559">
        <v>8</v>
      </c>
      <c r="D559" t="s">
        <v>1072</v>
      </c>
    </row>
    <row r="560" spans="1:4" x14ac:dyDescent="0.25">
      <c r="A560">
        <v>25</v>
      </c>
      <c r="B560" t="s">
        <v>466</v>
      </c>
      <c r="C560">
        <v>9</v>
      </c>
      <c r="D560" t="s">
        <v>1073</v>
      </c>
    </row>
    <row r="561" spans="1:4" x14ac:dyDescent="0.25">
      <c r="A561">
        <v>25</v>
      </c>
      <c r="B561" t="s">
        <v>466</v>
      </c>
      <c r="C561">
        <v>10</v>
      </c>
      <c r="D561" t="s">
        <v>1074</v>
      </c>
    </row>
    <row r="562" spans="1:4" x14ac:dyDescent="0.25">
      <c r="A562">
        <v>25</v>
      </c>
      <c r="B562" t="s">
        <v>466</v>
      </c>
      <c r="C562">
        <v>11</v>
      </c>
      <c r="D562" t="s">
        <v>1075</v>
      </c>
    </row>
    <row r="563" spans="1:4" x14ac:dyDescent="0.25">
      <c r="A563">
        <v>25</v>
      </c>
      <c r="B563" t="s">
        <v>466</v>
      </c>
      <c r="C563">
        <v>12</v>
      </c>
      <c r="D563" t="s">
        <v>1076</v>
      </c>
    </row>
    <row r="564" spans="1:4" x14ac:dyDescent="0.25">
      <c r="A564">
        <v>25</v>
      </c>
      <c r="B564" t="s">
        <v>466</v>
      </c>
      <c r="C564">
        <v>13</v>
      </c>
      <c r="D564" t="s">
        <v>1077</v>
      </c>
    </row>
    <row r="565" spans="1:4" x14ac:dyDescent="0.25">
      <c r="A565">
        <v>25</v>
      </c>
      <c r="B565" t="s">
        <v>466</v>
      </c>
      <c r="C565">
        <v>17</v>
      </c>
      <c r="D565" t="s">
        <v>1081</v>
      </c>
    </row>
    <row r="566" spans="1:4" x14ac:dyDescent="0.25">
      <c r="A566">
        <v>25</v>
      </c>
      <c r="B566" t="s">
        <v>466</v>
      </c>
      <c r="C566">
        <v>18</v>
      </c>
      <c r="D566" t="s">
        <v>1082</v>
      </c>
    </row>
    <row r="567" spans="1:4" x14ac:dyDescent="0.25">
      <c r="A567">
        <v>25</v>
      </c>
      <c r="B567" t="s">
        <v>466</v>
      </c>
      <c r="C567">
        <v>19</v>
      </c>
      <c r="D567" t="s">
        <v>1083</v>
      </c>
    </row>
    <row r="568" spans="1:4" x14ac:dyDescent="0.25">
      <c r="A568">
        <v>25</v>
      </c>
      <c r="B568" t="s">
        <v>466</v>
      </c>
      <c r="C568">
        <v>22</v>
      </c>
      <c r="D568" t="s">
        <v>463</v>
      </c>
    </row>
    <row r="569" spans="1:4" x14ac:dyDescent="0.25">
      <c r="A569">
        <v>25</v>
      </c>
      <c r="B569" t="s">
        <v>466</v>
      </c>
      <c r="C569">
        <v>23</v>
      </c>
      <c r="D569" t="s">
        <v>464</v>
      </c>
    </row>
    <row r="570" spans="1:4" x14ac:dyDescent="0.25">
      <c r="A570">
        <v>25</v>
      </c>
      <c r="B570" t="s">
        <v>466</v>
      </c>
      <c r="C570">
        <v>24</v>
      </c>
      <c r="D570" t="s">
        <v>465</v>
      </c>
    </row>
    <row r="571" spans="1:4" x14ac:dyDescent="0.25">
      <c r="A571">
        <v>25</v>
      </c>
      <c r="B571" t="s">
        <v>466</v>
      </c>
      <c r="C571">
        <v>26</v>
      </c>
      <c r="D571" t="s">
        <v>467</v>
      </c>
    </row>
    <row r="572" spans="1:4" x14ac:dyDescent="0.25">
      <c r="A572">
        <v>25</v>
      </c>
      <c r="B572" t="s">
        <v>466</v>
      </c>
      <c r="C572">
        <v>28</v>
      </c>
      <c r="D572" t="s">
        <v>469</v>
      </c>
    </row>
    <row r="573" spans="1:4" x14ac:dyDescent="0.25">
      <c r="A573">
        <v>25</v>
      </c>
      <c r="B573" t="s">
        <v>466</v>
      </c>
      <c r="C573">
        <v>29</v>
      </c>
      <c r="D573" t="s">
        <v>470</v>
      </c>
    </row>
    <row r="574" spans="1:4" x14ac:dyDescent="0.25">
      <c r="A574">
        <v>25</v>
      </c>
      <c r="B574" t="s">
        <v>466</v>
      </c>
      <c r="C574">
        <v>32</v>
      </c>
      <c r="D574" t="s">
        <v>473</v>
      </c>
    </row>
    <row r="575" spans="1:4" x14ac:dyDescent="0.25">
      <c r="A575">
        <v>25</v>
      </c>
      <c r="B575" t="s">
        <v>466</v>
      </c>
      <c r="C575">
        <v>33</v>
      </c>
      <c r="D575" t="s">
        <v>474</v>
      </c>
    </row>
    <row r="576" spans="1:4" x14ac:dyDescent="0.25">
      <c r="A576">
        <v>25</v>
      </c>
      <c r="B576" t="s">
        <v>466</v>
      </c>
      <c r="C576">
        <v>34</v>
      </c>
      <c r="D576" t="s">
        <v>475</v>
      </c>
    </row>
    <row r="577" spans="1:4" x14ac:dyDescent="0.25">
      <c r="A577">
        <v>25</v>
      </c>
      <c r="B577" t="s">
        <v>466</v>
      </c>
      <c r="C577">
        <v>36</v>
      </c>
      <c r="D577" t="s">
        <v>477</v>
      </c>
    </row>
    <row r="578" spans="1:4" x14ac:dyDescent="0.25">
      <c r="A578">
        <v>25</v>
      </c>
      <c r="B578" t="s">
        <v>466</v>
      </c>
      <c r="C578">
        <v>38</v>
      </c>
      <c r="D578" t="s">
        <v>479</v>
      </c>
    </row>
    <row r="579" spans="1:4" x14ac:dyDescent="0.25">
      <c r="A579">
        <v>25</v>
      </c>
      <c r="B579" t="s">
        <v>466</v>
      </c>
      <c r="C579">
        <v>39</v>
      </c>
      <c r="D579" t="s">
        <v>480</v>
      </c>
    </row>
    <row r="580" spans="1:4" x14ac:dyDescent="0.25">
      <c r="A580">
        <v>25</v>
      </c>
      <c r="B580" t="s">
        <v>466</v>
      </c>
      <c r="C580">
        <v>40</v>
      </c>
      <c r="D580" t="s">
        <v>481</v>
      </c>
    </row>
    <row r="581" spans="1:4" x14ac:dyDescent="0.25">
      <c r="A581">
        <v>25</v>
      </c>
      <c r="B581" t="s">
        <v>466</v>
      </c>
      <c r="C581">
        <v>41</v>
      </c>
      <c r="D581" t="s">
        <v>482</v>
      </c>
    </row>
    <row r="582" spans="1:4" x14ac:dyDescent="0.25">
      <c r="A582">
        <v>25</v>
      </c>
      <c r="B582" t="s">
        <v>466</v>
      </c>
      <c r="C582">
        <v>43</v>
      </c>
      <c r="D582" t="s">
        <v>484</v>
      </c>
    </row>
    <row r="583" spans="1:4" x14ac:dyDescent="0.25">
      <c r="A583">
        <v>26</v>
      </c>
      <c r="B583" t="s">
        <v>467</v>
      </c>
      <c r="C583">
        <v>1</v>
      </c>
      <c r="D583" t="s">
        <v>1067</v>
      </c>
    </row>
    <row r="584" spans="1:4" x14ac:dyDescent="0.25">
      <c r="A584">
        <v>26</v>
      </c>
      <c r="B584" t="s">
        <v>467</v>
      </c>
      <c r="C584">
        <v>2</v>
      </c>
      <c r="D584" t="s">
        <v>1069</v>
      </c>
    </row>
    <row r="585" spans="1:4" x14ac:dyDescent="0.25">
      <c r="A585">
        <v>26</v>
      </c>
      <c r="B585" t="s">
        <v>467</v>
      </c>
      <c r="C585">
        <v>4</v>
      </c>
      <c r="D585" t="s">
        <v>1071</v>
      </c>
    </row>
    <row r="586" spans="1:4" x14ac:dyDescent="0.25">
      <c r="A586">
        <v>26</v>
      </c>
      <c r="B586" t="s">
        <v>467</v>
      </c>
      <c r="C586">
        <v>5</v>
      </c>
      <c r="D586" t="s">
        <v>460</v>
      </c>
    </row>
    <row r="587" spans="1:4" x14ac:dyDescent="0.25">
      <c r="A587">
        <v>26</v>
      </c>
      <c r="B587" t="s">
        <v>467</v>
      </c>
      <c r="C587">
        <v>6</v>
      </c>
      <c r="D587" t="s">
        <v>461</v>
      </c>
    </row>
    <row r="588" spans="1:4" x14ac:dyDescent="0.25">
      <c r="A588">
        <v>26</v>
      </c>
      <c r="B588" t="s">
        <v>467</v>
      </c>
      <c r="C588">
        <v>7</v>
      </c>
      <c r="D588" t="s">
        <v>462</v>
      </c>
    </row>
    <row r="589" spans="1:4" x14ac:dyDescent="0.25">
      <c r="A589">
        <v>26</v>
      </c>
      <c r="B589" t="s">
        <v>467</v>
      </c>
      <c r="C589">
        <v>8</v>
      </c>
      <c r="D589" t="s">
        <v>1072</v>
      </c>
    </row>
    <row r="590" spans="1:4" x14ac:dyDescent="0.25">
      <c r="A590">
        <v>26</v>
      </c>
      <c r="B590" t="s">
        <v>467</v>
      </c>
      <c r="C590">
        <v>9</v>
      </c>
      <c r="D590" t="s">
        <v>1073</v>
      </c>
    </row>
    <row r="591" spans="1:4" x14ac:dyDescent="0.25">
      <c r="A591">
        <v>26</v>
      </c>
      <c r="B591" t="s">
        <v>467</v>
      </c>
      <c r="C591">
        <v>10</v>
      </c>
      <c r="D591" t="s">
        <v>1074</v>
      </c>
    </row>
    <row r="592" spans="1:4" x14ac:dyDescent="0.25">
      <c r="A592">
        <v>26</v>
      </c>
      <c r="B592" t="s">
        <v>467</v>
      </c>
      <c r="C592">
        <v>11</v>
      </c>
      <c r="D592" t="s">
        <v>1075</v>
      </c>
    </row>
    <row r="593" spans="1:4" x14ac:dyDescent="0.25">
      <c r="A593">
        <v>26</v>
      </c>
      <c r="B593" t="s">
        <v>467</v>
      </c>
      <c r="C593">
        <v>12</v>
      </c>
      <c r="D593" t="s">
        <v>1076</v>
      </c>
    </row>
    <row r="594" spans="1:4" x14ac:dyDescent="0.25">
      <c r="A594">
        <v>26</v>
      </c>
      <c r="B594" t="s">
        <v>467</v>
      </c>
      <c r="C594">
        <v>13</v>
      </c>
      <c r="D594" t="s">
        <v>1077</v>
      </c>
    </row>
    <row r="595" spans="1:4" x14ac:dyDescent="0.25">
      <c r="A595">
        <v>26</v>
      </c>
      <c r="B595" t="s">
        <v>467</v>
      </c>
      <c r="C595">
        <v>15</v>
      </c>
      <c r="D595" t="s">
        <v>1079</v>
      </c>
    </row>
    <row r="596" spans="1:4" x14ac:dyDescent="0.25">
      <c r="A596">
        <v>26</v>
      </c>
      <c r="B596" t="s">
        <v>467</v>
      </c>
      <c r="C596">
        <v>16</v>
      </c>
      <c r="D596" t="s">
        <v>1080</v>
      </c>
    </row>
    <row r="597" spans="1:4" x14ac:dyDescent="0.25">
      <c r="A597">
        <v>26</v>
      </c>
      <c r="B597" t="s">
        <v>467</v>
      </c>
      <c r="C597">
        <v>17</v>
      </c>
      <c r="D597" t="s">
        <v>1081</v>
      </c>
    </row>
    <row r="598" spans="1:4" x14ac:dyDescent="0.25">
      <c r="A598">
        <v>26</v>
      </c>
      <c r="B598" t="s">
        <v>467</v>
      </c>
      <c r="C598">
        <v>18</v>
      </c>
      <c r="D598" t="s">
        <v>1082</v>
      </c>
    </row>
    <row r="599" spans="1:4" x14ac:dyDescent="0.25">
      <c r="A599">
        <v>26</v>
      </c>
      <c r="B599" t="s">
        <v>467</v>
      </c>
      <c r="C599">
        <v>19</v>
      </c>
      <c r="D599" t="s">
        <v>1083</v>
      </c>
    </row>
    <row r="600" spans="1:4" x14ac:dyDescent="0.25">
      <c r="A600">
        <v>26</v>
      </c>
      <c r="B600" t="s">
        <v>467</v>
      </c>
      <c r="C600">
        <v>22</v>
      </c>
      <c r="D600" t="s">
        <v>463</v>
      </c>
    </row>
    <row r="601" spans="1:4" x14ac:dyDescent="0.25">
      <c r="A601">
        <v>26</v>
      </c>
      <c r="B601" t="s">
        <v>467</v>
      </c>
      <c r="C601">
        <v>23</v>
      </c>
      <c r="D601" t="s">
        <v>464</v>
      </c>
    </row>
    <row r="602" spans="1:4" x14ac:dyDescent="0.25">
      <c r="A602">
        <v>26</v>
      </c>
      <c r="B602" t="s">
        <v>467</v>
      </c>
      <c r="C602">
        <v>25</v>
      </c>
      <c r="D602" t="s">
        <v>466</v>
      </c>
    </row>
    <row r="603" spans="1:4" x14ac:dyDescent="0.25">
      <c r="A603">
        <v>26</v>
      </c>
      <c r="B603" t="s">
        <v>467</v>
      </c>
      <c r="C603">
        <v>28</v>
      </c>
      <c r="D603" t="s">
        <v>469</v>
      </c>
    </row>
    <row r="604" spans="1:4" x14ac:dyDescent="0.25">
      <c r="A604">
        <v>26</v>
      </c>
      <c r="B604" t="s">
        <v>467</v>
      </c>
      <c r="C604">
        <v>29</v>
      </c>
      <c r="D604" t="s">
        <v>470</v>
      </c>
    </row>
    <row r="605" spans="1:4" x14ac:dyDescent="0.25">
      <c r="A605">
        <v>26</v>
      </c>
      <c r="B605" t="s">
        <v>467</v>
      </c>
      <c r="C605">
        <v>33</v>
      </c>
      <c r="D605" t="s">
        <v>474</v>
      </c>
    </row>
    <row r="606" spans="1:4" x14ac:dyDescent="0.25">
      <c r="A606">
        <v>26</v>
      </c>
      <c r="B606" t="s">
        <v>467</v>
      </c>
      <c r="C606">
        <v>36</v>
      </c>
      <c r="D606" t="s">
        <v>477</v>
      </c>
    </row>
    <row r="607" spans="1:4" x14ac:dyDescent="0.25">
      <c r="A607">
        <v>26</v>
      </c>
      <c r="B607" t="s">
        <v>467</v>
      </c>
      <c r="C607">
        <v>37</v>
      </c>
      <c r="D607" t="s">
        <v>478</v>
      </c>
    </row>
    <row r="608" spans="1:4" x14ac:dyDescent="0.25">
      <c r="A608">
        <v>26</v>
      </c>
      <c r="B608" t="s">
        <v>467</v>
      </c>
      <c r="C608">
        <v>40</v>
      </c>
      <c r="D608" t="s">
        <v>481</v>
      </c>
    </row>
    <row r="609" spans="1:4" x14ac:dyDescent="0.25">
      <c r="A609">
        <v>26</v>
      </c>
      <c r="B609" t="s">
        <v>467</v>
      </c>
      <c r="C609">
        <v>41</v>
      </c>
      <c r="D609" t="s">
        <v>482</v>
      </c>
    </row>
    <row r="610" spans="1:4" x14ac:dyDescent="0.25">
      <c r="A610">
        <v>26</v>
      </c>
      <c r="B610" t="s">
        <v>467</v>
      </c>
      <c r="C610">
        <v>43</v>
      </c>
      <c r="D610" t="s">
        <v>484</v>
      </c>
    </row>
    <row r="611" spans="1:4" x14ac:dyDescent="0.25">
      <c r="A611">
        <v>27</v>
      </c>
      <c r="B611" t="s">
        <v>468</v>
      </c>
      <c r="C611">
        <v>4</v>
      </c>
      <c r="D611" t="s">
        <v>1071</v>
      </c>
    </row>
    <row r="612" spans="1:4" x14ac:dyDescent="0.25">
      <c r="A612">
        <v>27</v>
      </c>
      <c r="B612" t="s">
        <v>468</v>
      </c>
      <c r="C612">
        <v>5</v>
      </c>
      <c r="D612" t="s">
        <v>460</v>
      </c>
    </row>
    <row r="613" spans="1:4" x14ac:dyDescent="0.25">
      <c r="A613">
        <v>27</v>
      </c>
      <c r="B613" t="s">
        <v>468</v>
      </c>
      <c r="C613">
        <v>6</v>
      </c>
      <c r="D613" t="s">
        <v>461</v>
      </c>
    </row>
    <row r="614" spans="1:4" x14ac:dyDescent="0.25">
      <c r="A614">
        <v>27</v>
      </c>
      <c r="B614" t="s">
        <v>468</v>
      </c>
      <c r="C614">
        <v>8</v>
      </c>
      <c r="D614" t="s">
        <v>1072</v>
      </c>
    </row>
    <row r="615" spans="1:4" x14ac:dyDescent="0.25">
      <c r="A615">
        <v>27</v>
      </c>
      <c r="B615" t="s">
        <v>468</v>
      </c>
      <c r="C615">
        <v>9</v>
      </c>
      <c r="D615" t="s">
        <v>1073</v>
      </c>
    </row>
    <row r="616" spans="1:4" x14ac:dyDescent="0.25">
      <c r="A616">
        <v>27</v>
      </c>
      <c r="B616" t="s">
        <v>468</v>
      </c>
      <c r="C616">
        <v>10</v>
      </c>
      <c r="D616" t="s">
        <v>1074</v>
      </c>
    </row>
    <row r="617" spans="1:4" x14ac:dyDescent="0.25">
      <c r="A617">
        <v>27</v>
      </c>
      <c r="B617" t="s">
        <v>468</v>
      </c>
      <c r="C617">
        <v>11</v>
      </c>
      <c r="D617" t="s">
        <v>1075</v>
      </c>
    </row>
    <row r="618" spans="1:4" x14ac:dyDescent="0.25">
      <c r="A618">
        <v>27</v>
      </c>
      <c r="B618" t="s">
        <v>468</v>
      </c>
      <c r="C618">
        <v>12</v>
      </c>
      <c r="D618" t="s">
        <v>1076</v>
      </c>
    </row>
    <row r="619" spans="1:4" x14ac:dyDescent="0.25">
      <c r="A619">
        <v>27</v>
      </c>
      <c r="B619" t="s">
        <v>468</v>
      </c>
      <c r="C619">
        <v>13</v>
      </c>
      <c r="D619" t="s">
        <v>1077</v>
      </c>
    </row>
    <row r="620" spans="1:4" x14ac:dyDescent="0.25">
      <c r="A620">
        <v>27</v>
      </c>
      <c r="B620" t="s">
        <v>468</v>
      </c>
      <c r="C620">
        <v>17</v>
      </c>
      <c r="D620" t="s">
        <v>1081</v>
      </c>
    </row>
    <row r="621" spans="1:4" x14ac:dyDescent="0.25">
      <c r="A621">
        <v>27</v>
      </c>
      <c r="B621" t="s">
        <v>468</v>
      </c>
      <c r="C621">
        <v>18</v>
      </c>
      <c r="D621" t="s">
        <v>1082</v>
      </c>
    </row>
    <row r="622" spans="1:4" x14ac:dyDescent="0.25">
      <c r="A622">
        <v>27</v>
      </c>
      <c r="B622" t="s">
        <v>468</v>
      </c>
      <c r="C622">
        <v>19</v>
      </c>
      <c r="D622" t="s">
        <v>1083</v>
      </c>
    </row>
    <row r="623" spans="1:4" x14ac:dyDescent="0.25">
      <c r="A623">
        <v>27</v>
      </c>
      <c r="B623" t="s">
        <v>468</v>
      </c>
      <c r="C623">
        <v>22</v>
      </c>
      <c r="D623" t="s">
        <v>463</v>
      </c>
    </row>
    <row r="624" spans="1:4" x14ac:dyDescent="0.25">
      <c r="A624">
        <v>27</v>
      </c>
      <c r="B624" t="s">
        <v>468</v>
      </c>
      <c r="C624">
        <v>23</v>
      </c>
      <c r="D624" t="s">
        <v>464</v>
      </c>
    </row>
    <row r="625" spans="1:4" x14ac:dyDescent="0.25">
      <c r="A625">
        <v>27</v>
      </c>
      <c r="B625" t="s">
        <v>468</v>
      </c>
      <c r="C625">
        <v>24</v>
      </c>
      <c r="D625" t="s">
        <v>465</v>
      </c>
    </row>
    <row r="626" spans="1:4" x14ac:dyDescent="0.25">
      <c r="A626">
        <v>27</v>
      </c>
      <c r="B626" t="s">
        <v>468</v>
      </c>
      <c r="C626">
        <v>28</v>
      </c>
      <c r="D626" t="s">
        <v>469</v>
      </c>
    </row>
    <row r="627" spans="1:4" x14ac:dyDescent="0.25">
      <c r="A627">
        <v>27</v>
      </c>
      <c r="B627" t="s">
        <v>468</v>
      </c>
      <c r="C627">
        <v>29</v>
      </c>
      <c r="D627" t="s">
        <v>470</v>
      </c>
    </row>
    <row r="628" spans="1:4" x14ac:dyDescent="0.25">
      <c r="A628">
        <v>27</v>
      </c>
      <c r="B628" t="s">
        <v>468</v>
      </c>
      <c r="C628">
        <v>31</v>
      </c>
      <c r="D628" t="s">
        <v>472</v>
      </c>
    </row>
    <row r="629" spans="1:4" x14ac:dyDescent="0.25">
      <c r="A629">
        <v>27</v>
      </c>
      <c r="B629" t="s">
        <v>468</v>
      </c>
      <c r="C629">
        <v>32</v>
      </c>
      <c r="D629" t="s">
        <v>473</v>
      </c>
    </row>
    <row r="630" spans="1:4" x14ac:dyDescent="0.25">
      <c r="A630">
        <v>27</v>
      </c>
      <c r="B630" t="s">
        <v>468</v>
      </c>
      <c r="C630">
        <v>33</v>
      </c>
      <c r="D630" t="s">
        <v>474</v>
      </c>
    </row>
    <row r="631" spans="1:4" x14ac:dyDescent="0.25">
      <c r="A631">
        <v>27</v>
      </c>
      <c r="B631" t="s">
        <v>468</v>
      </c>
      <c r="C631">
        <v>34</v>
      </c>
      <c r="D631" t="s">
        <v>475</v>
      </c>
    </row>
    <row r="632" spans="1:4" x14ac:dyDescent="0.25">
      <c r="A632">
        <v>27</v>
      </c>
      <c r="B632" t="s">
        <v>468</v>
      </c>
      <c r="C632">
        <v>36</v>
      </c>
      <c r="D632" t="s">
        <v>477</v>
      </c>
    </row>
    <row r="633" spans="1:4" x14ac:dyDescent="0.25">
      <c r="A633">
        <v>27</v>
      </c>
      <c r="B633" t="s">
        <v>468</v>
      </c>
      <c r="C633">
        <v>37</v>
      </c>
      <c r="D633" t="s">
        <v>478</v>
      </c>
    </row>
    <row r="634" spans="1:4" x14ac:dyDescent="0.25">
      <c r="A634">
        <v>27</v>
      </c>
      <c r="B634" t="s">
        <v>468</v>
      </c>
      <c r="C634">
        <v>38</v>
      </c>
      <c r="D634" t="s">
        <v>479</v>
      </c>
    </row>
    <row r="635" spans="1:4" x14ac:dyDescent="0.25">
      <c r="A635">
        <v>27</v>
      </c>
      <c r="B635" t="s">
        <v>468</v>
      </c>
      <c r="C635">
        <v>39</v>
      </c>
      <c r="D635" t="s">
        <v>480</v>
      </c>
    </row>
    <row r="636" spans="1:4" x14ac:dyDescent="0.25">
      <c r="A636">
        <v>27</v>
      </c>
      <c r="B636" t="s">
        <v>468</v>
      </c>
      <c r="C636">
        <v>40</v>
      </c>
      <c r="D636" t="s">
        <v>481</v>
      </c>
    </row>
    <row r="637" spans="1:4" x14ac:dyDescent="0.25">
      <c r="A637">
        <v>27</v>
      </c>
      <c r="B637" t="s">
        <v>468</v>
      </c>
      <c r="C637">
        <v>41</v>
      </c>
      <c r="D637" t="s">
        <v>482</v>
      </c>
    </row>
    <row r="638" spans="1:4" x14ac:dyDescent="0.25">
      <c r="A638">
        <v>27</v>
      </c>
      <c r="B638" t="s">
        <v>468</v>
      </c>
      <c r="C638">
        <v>43</v>
      </c>
      <c r="D638" t="s">
        <v>484</v>
      </c>
    </row>
    <row r="639" spans="1:4" x14ac:dyDescent="0.25">
      <c r="A639">
        <v>28</v>
      </c>
      <c r="B639" t="s">
        <v>469</v>
      </c>
      <c r="C639">
        <v>1</v>
      </c>
      <c r="D639" t="s">
        <v>1067</v>
      </c>
    </row>
    <row r="640" spans="1:4" x14ac:dyDescent="0.25">
      <c r="A640">
        <v>28</v>
      </c>
      <c r="B640" t="s">
        <v>469</v>
      </c>
      <c r="C640">
        <v>2</v>
      </c>
      <c r="D640" t="s">
        <v>1069</v>
      </c>
    </row>
    <row r="641" spans="1:4" x14ac:dyDescent="0.25">
      <c r="A641">
        <v>28</v>
      </c>
      <c r="B641" t="s">
        <v>469</v>
      </c>
      <c r="C641">
        <v>3</v>
      </c>
      <c r="D641" t="s">
        <v>1070</v>
      </c>
    </row>
    <row r="642" spans="1:4" x14ac:dyDescent="0.25">
      <c r="A642">
        <v>28</v>
      </c>
      <c r="B642" t="s">
        <v>469</v>
      </c>
      <c r="C642">
        <v>4</v>
      </c>
      <c r="D642" t="s">
        <v>1071</v>
      </c>
    </row>
    <row r="643" spans="1:4" x14ac:dyDescent="0.25">
      <c r="A643">
        <v>28</v>
      </c>
      <c r="B643" t="s">
        <v>469</v>
      </c>
      <c r="C643">
        <v>8</v>
      </c>
      <c r="D643" t="s">
        <v>1072</v>
      </c>
    </row>
    <row r="644" spans="1:4" x14ac:dyDescent="0.25">
      <c r="A644">
        <v>28</v>
      </c>
      <c r="B644" t="s">
        <v>469</v>
      </c>
      <c r="C644">
        <v>10</v>
      </c>
      <c r="D644" t="s">
        <v>1074</v>
      </c>
    </row>
    <row r="645" spans="1:4" x14ac:dyDescent="0.25">
      <c r="A645">
        <v>28</v>
      </c>
      <c r="B645" t="s">
        <v>469</v>
      </c>
      <c r="C645">
        <v>11</v>
      </c>
      <c r="D645" t="s">
        <v>1075</v>
      </c>
    </row>
    <row r="646" spans="1:4" x14ac:dyDescent="0.25">
      <c r="A646">
        <v>28</v>
      </c>
      <c r="B646" t="s">
        <v>469</v>
      </c>
      <c r="C646">
        <v>14</v>
      </c>
      <c r="D646" t="s">
        <v>1078</v>
      </c>
    </row>
    <row r="647" spans="1:4" x14ac:dyDescent="0.25">
      <c r="A647">
        <v>28</v>
      </c>
      <c r="B647" t="s">
        <v>469</v>
      </c>
      <c r="C647">
        <v>15</v>
      </c>
      <c r="D647" t="s">
        <v>1079</v>
      </c>
    </row>
    <row r="648" spans="1:4" x14ac:dyDescent="0.25">
      <c r="A648">
        <v>28</v>
      </c>
      <c r="B648" t="s">
        <v>469</v>
      </c>
      <c r="C648">
        <v>16</v>
      </c>
      <c r="D648" t="s">
        <v>1080</v>
      </c>
    </row>
    <row r="649" spans="1:4" x14ac:dyDescent="0.25">
      <c r="A649">
        <v>28</v>
      </c>
      <c r="B649" t="s">
        <v>469</v>
      </c>
      <c r="C649">
        <v>17</v>
      </c>
      <c r="D649" t="s">
        <v>1081</v>
      </c>
    </row>
    <row r="650" spans="1:4" x14ac:dyDescent="0.25">
      <c r="A650">
        <v>28</v>
      </c>
      <c r="B650" t="s">
        <v>469</v>
      </c>
      <c r="C650">
        <v>18</v>
      </c>
      <c r="D650" t="s">
        <v>1082</v>
      </c>
    </row>
    <row r="651" spans="1:4" x14ac:dyDescent="0.25">
      <c r="A651">
        <v>28</v>
      </c>
      <c r="B651" t="s">
        <v>469</v>
      </c>
      <c r="C651">
        <v>19</v>
      </c>
      <c r="D651" t="s">
        <v>1083</v>
      </c>
    </row>
    <row r="652" spans="1:4" x14ac:dyDescent="0.25">
      <c r="A652">
        <v>28</v>
      </c>
      <c r="B652" t="s">
        <v>469</v>
      </c>
      <c r="C652">
        <v>20</v>
      </c>
      <c r="D652" t="s">
        <v>1084</v>
      </c>
    </row>
    <row r="653" spans="1:4" x14ac:dyDescent="0.25">
      <c r="A653">
        <v>28</v>
      </c>
      <c r="B653" t="s">
        <v>469</v>
      </c>
      <c r="C653">
        <v>21</v>
      </c>
      <c r="D653" t="s">
        <v>1085</v>
      </c>
    </row>
    <row r="654" spans="1:4" x14ac:dyDescent="0.25">
      <c r="A654">
        <v>28</v>
      </c>
      <c r="B654" t="s">
        <v>469</v>
      </c>
      <c r="C654">
        <v>24</v>
      </c>
      <c r="D654" t="s">
        <v>465</v>
      </c>
    </row>
    <row r="655" spans="1:4" x14ac:dyDescent="0.25">
      <c r="A655">
        <v>28</v>
      </c>
      <c r="B655" t="s">
        <v>469</v>
      </c>
      <c r="C655">
        <v>25</v>
      </c>
      <c r="D655" t="s">
        <v>466</v>
      </c>
    </row>
    <row r="656" spans="1:4" x14ac:dyDescent="0.25">
      <c r="A656">
        <v>28</v>
      </c>
      <c r="B656" t="s">
        <v>469</v>
      </c>
      <c r="C656">
        <v>26</v>
      </c>
      <c r="D656" t="s">
        <v>467</v>
      </c>
    </row>
    <row r="657" spans="1:4" x14ac:dyDescent="0.25">
      <c r="A657">
        <v>28</v>
      </c>
      <c r="B657" t="s">
        <v>469</v>
      </c>
      <c r="C657">
        <v>27</v>
      </c>
      <c r="D657" t="s">
        <v>468</v>
      </c>
    </row>
    <row r="658" spans="1:4" x14ac:dyDescent="0.25">
      <c r="A658">
        <v>28</v>
      </c>
      <c r="B658" t="s">
        <v>469</v>
      </c>
      <c r="C658">
        <v>30</v>
      </c>
      <c r="D658" t="s">
        <v>471</v>
      </c>
    </row>
    <row r="659" spans="1:4" x14ac:dyDescent="0.25">
      <c r="A659">
        <v>28</v>
      </c>
      <c r="B659" t="s">
        <v>469</v>
      </c>
      <c r="C659">
        <v>31</v>
      </c>
      <c r="D659" t="s">
        <v>472</v>
      </c>
    </row>
    <row r="660" spans="1:4" x14ac:dyDescent="0.25">
      <c r="A660">
        <v>28</v>
      </c>
      <c r="B660" t="s">
        <v>469</v>
      </c>
      <c r="C660">
        <v>32</v>
      </c>
      <c r="D660" t="s">
        <v>473</v>
      </c>
    </row>
    <row r="661" spans="1:4" x14ac:dyDescent="0.25">
      <c r="A661">
        <v>28</v>
      </c>
      <c r="B661" t="s">
        <v>469</v>
      </c>
      <c r="C661">
        <v>34</v>
      </c>
      <c r="D661" t="s">
        <v>475</v>
      </c>
    </row>
    <row r="662" spans="1:4" x14ac:dyDescent="0.25">
      <c r="A662">
        <v>28</v>
      </c>
      <c r="B662" t="s">
        <v>469</v>
      </c>
      <c r="C662">
        <v>35</v>
      </c>
      <c r="D662" t="s">
        <v>476</v>
      </c>
    </row>
    <row r="663" spans="1:4" x14ac:dyDescent="0.25">
      <c r="A663">
        <v>28</v>
      </c>
      <c r="B663" t="s">
        <v>469</v>
      </c>
      <c r="C663">
        <v>38</v>
      </c>
      <c r="D663" t="s">
        <v>479</v>
      </c>
    </row>
    <row r="664" spans="1:4" x14ac:dyDescent="0.25">
      <c r="A664">
        <v>28</v>
      </c>
      <c r="B664" t="s">
        <v>469</v>
      </c>
      <c r="C664">
        <v>39</v>
      </c>
      <c r="D664" t="s">
        <v>480</v>
      </c>
    </row>
    <row r="665" spans="1:4" x14ac:dyDescent="0.25">
      <c r="A665">
        <v>28</v>
      </c>
      <c r="B665" t="s">
        <v>469</v>
      </c>
      <c r="C665">
        <v>40</v>
      </c>
      <c r="D665" t="s">
        <v>481</v>
      </c>
    </row>
    <row r="666" spans="1:4" x14ac:dyDescent="0.25">
      <c r="A666">
        <v>28</v>
      </c>
      <c r="B666" t="s">
        <v>469</v>
      </c>
      <c r="C666">
        <v>41</v>
      </c>
      <c r="D666" t="s">
        <v>482</v>
      </c>
    </row>
    <row r="667" spans="1:4" x14ac:dyDescent="0.25">
      <c r="A667">
        <v>28</v>
      </c>
      <c r="B667" t="s">
        <v>469</v>
      </c>
      <c r="C667">
        <v>42</v>
      </c>
      <c r="D667" t="s">
        <v>483</v>
      </c>
    </row>
    <row r="668" spans="1:4" x14ac:dyDescent="0.25">
      <c r="A668">
        <v>29</v>
      </c>
      <c r="B668" t="s">
        <v>470</v>
      </c>
      <c r="C668">
        <v>1</v>
      </c>
      <c r="D668" t="s">
        <v>1067</v>
      </c>
    </row>
    <row r="669" spans="1:4" x14ac:dyDescent="0.25">
      <c r="A669">
        <v>29</v>
      </c>
      <c r="B669" t="s">
        <v>470</v>
      </c>
      <c r="C669">
        <v>2</v>
      </c>
      <c r="D669" t="s">
        <v>1069</v>
      </c>
    </row>
    <row r="670" spans="1:4" x14ac:dyDescent="0.25">
      <c r="A670">
        <v>29</v>
      </c>
      <c r="B670" t="s">
        <v>470</v>
      </c>
      <c r="C670">
        <v>3</v>
      </c>
      <c r="D670" t="s">
        <v>1070</v>
      </c>
    </row>
    <row r="671" spans="1:4" x14ac:dyDescent="0.25">
      <c r="A671">
        <v>29</v>
      </c>
      <c r="B671" t="s">
        <v>470</v>
      </c>
      <c r="C671">
        <v>4</v>
      </c>
      <c r="D671" t="s">
        <v>1071</v>
      </c>
    </row>
    <row r="672" spans="1:4" x14ac:dyDescent="0.25">
      <c r="A672">
        <v>29</v>
      </c>
      <c r="B672" t="s">
        <v>470</v>
      </c>
      <c r="C672">
        <v>8</v>
      </c>
      <c r="D672" t="s">
        <v>1072</v>
      </c>
    </row>
    <row r="673" spans="1:4" x14ac:dyDescent="0.25">
      <c r="A673">
        <v>29</v>
      </c>
      <c r="B673" t="s">
        <v>470</v>
      </c>
      <c r="C673">
        <v>10</v>
      </c>
      <c r="D673" t="s">
        <v>1074</v>
      </c>
    </row>
    <row r="674" spans="1:4" x14ac:dyDescent="0.25">
      <c r="A674">
        <v>29</v>
      </c>
      <c r="B674" t="s">
        <v>470</v>
      </c>
      <c r="C674">
        <v>11</v>
      </c>
      <c r="D674" t="s">
        <v>1075</v>
      </c>
    </row>
    <row r="675" spans="1:4" x14ac:dyDescent="0.25">
      <c r="A675">
        <v>29</v>
      </c>
      <c r="B675" t="s">
        <v>470</v>
      </c>
      <c r="C675">
        <v>14</v>
      </c>
      <c r="D675" t="s">
        <v>1078</v>
      </c>
    </row>
    <row r="676" spans="1:4" x14ac:dyDescent="0.25">
      <c r="A676">
        <v>29</v>
      </c>
      <c r="B676" t="s">
        <v>470</v>
      </c>
      <c r="C676">
        <v>15</v>
      </c>
      <c r="D676" t="s">
        <v>1079</v>
      </c>
    </row>
    <row r="677" spans="1:4" x14ac:dyDescent="0.25">
      <c r="A677">
        <v>29</v>
      </c>
      <c r="B677" t="s">
        <v>470</v>
      </c>
      <c r="C677">
        <v>16</v>
      </c>
      <c r="D677" t="s">
        <v>1080</v>
      </c>
    </row>
    <row r="678" spans="1:4" x14ac:dyDescent="0.25">
      <c r="A678">
        <v>29</v>
      </c>
      <c r="B678" t="s">
        <v>470</v>
      </c>
      <c r="C678">
        <v>17</v>
      </c>
      <c r="D678" t="s">
        <v>1081</v>
      </c>
    </row>
    <row r="679" spans="1:4" x14ac:dyDescent="0.25">
      <c r="A679">
        <v>29</v>
      </c>
      <c r="B679" t="s">
        <v>470</v>
      </c>
      <c r="C679">
        <v>18</v>
      </c>
      <c r="D679" t="s">
        <v>1082</v>
      </c>
    </row>
    <row r="680" spans="1:4" x14ac:dyDescent="0.25">
      <c r="A680">
        <v>29</v>
      </c>
      <c r="B680" t="s">
        <v>470</v>
      </c>
      <c r="C680">
        <v>19</v>
      </c>
      <c r="D680" t="s">
        <v>1083</v>
      </c>
    </row>
    <row r="681" spans="1:4" x14ac:dyDescent="0.25">
      <c r="A681">
        <v>29</v>
      </c>
      <c r="B681" t="s">
        <v>470</v>
      </c>
      <c r="C681">
        <v>20</v>
      </c>
      <c r="D681" t="s">
        <v>1084</v>
      </c>
    </row>
    <row r="682" spans="1:4" x14ac:dyDescent="0.25">
      <c r="A682">
        <v>29</v>
      </c>
      <c r="B682" t="s">
        <v>470</v>
      </c>
      <c r="C682">
        <v>21</v>
      </c>
      <c r="D682" t="s">
        <v>1085</v>
      </c>
    </row>
    <row r="683" spans="1:4" x14ac:dyDescent="0.25">
      <c r="A683">
        <v>29</v>
      </c>
      <c r="B683" t="s">
        <v>470</v>
      </c>
      <c r="C683">
        <v>24</v>
      </c>
      <c r="D683" t="s">
        <v>465</v>
      </c>
    </row>
    <row r="684" spans="1:4" x14ac:dyDescent="0.25">
      <c r="A684">
        <v>29</v>
      </c>
      <c r="B684" t="s">
        <v>470</v>
      </c>
      <c r="C684">
        <v>25</v>
      </c>
      <c r="D684" t="s">
        <v>466</v>
      </c>
    </row>
    <row r="685" spans="1:4" x14ac:dyDescent="0.25">
      <c r="A685">
        <v>29</v>
      </c>
      <c r="B685" t="s">
        <v>470</v>
      </c>
      <c r="C685">
        <v>26</v>
      </c>
      <c r="D685" t="s">
        <v>467</v>
      </c>
    </row>
    <row r="686" spans="1:4" x14ac:dyDescent="0.25">
      <c r="A686">
        <v>29</v>
      </c>
      <c r="B686" t="s">
        <v>470</v>
      </c>
      <c r="C686">
        <v>27</v>
      </c>
      <c r="D686" t="s">
        <v>468</v>
      </c>
    </row>
    <row r="687" spans="1:4" x14ac:dyDescent="0.25">
      <c r="A687">
        <v>29</v>
      </c>
      <c r="B687" t="s">
        <v>470</v>
      </c>
      <c r="C687">
        <v>30</v>
      </c>
      <c r="D687" t="s">
        <v>471</v>
      </c>
    </row>
    <row r="688" spans="1:4" x14ac:dyDescent="0.25">
      <c r="A688">
        <v>29</v>
      </c>
      <c r="B688" t="s">
        <v>470</v>
      </c>
      <c r="C688">
        <v>31</v>
      </c>
      <c r="D688" t="s">
        <v>472</v>
      </c>
    </row>
    <row r="689" spans="1:4" x14ac:dyDescent="0.25">
      <c r="A689">
        <v>29</v>
      </c>
      <c r="B689" t="s">
        <v>470</v>
      </c>
      <c r="C689">
        <v>32</v>
      </c>
      <c r="D689" t="s">
        <v>473</v>
      </c>
    </row>
    <row r="690" spans="1:4" x14ac:dyDescent="0.25">
      <c r="A690">
        <v>29</v>
      </c>
      <c r="B690" t="s">
        <v>470</v>
      </c>
      <c r="C690">
        <v>34</v>
      </c>
      <c r="D690" t="s">
        <v>475</v>
      </c>
    </row>
    <row r="691" spans="1:4" x14ac:dyDescent="0.25">
      <c r="A691">
        <v>29</v>
      </c>
      <c r="B691" t="s">
        <v>470</v>
      </c>
      <c r="C691">
        <v>35</v>
      </c>
      <c r="D691" t="s">
        <v>476</v>
      </c>
    </row>
    <row r="692" spans="1:4" x14ac:dyDescent="0.25">
      <c r="A692">
        <v>29</v>
      </c>
      <c r="B692" t="s">
        <v>470</v>
      </c>
      <c r="C692">
        <v>38</v>
      </c>
      <c r="D692" t="s">
        <v>479</v>
      </c>
    </row>
    <row r="693" spans="1:4" x14ac:dyDescent="0.25">
      <c r="A693">
        <v>29</v>
      </c>
      <c r="B693" t="s">
        <v>470</v>
      </c>
      <c r="C693">
        <v>39</v>
      </c>
      <c r="D693" t="s">
        <v>480</v>
      </c>
    </row>
    <row r="694" spans="1:4" x14ac:dyDescent="0.25">
      <c r="A694">
        <v>29</v>
      </c>
      <c r="B694" t="s">
        <v>470</v>
      </c>
      <c r="C694">
        <v>40</v>
      </c>
      <c r="D694" t="s">
        <v>481</v>
      </c>
    </row>
    <row r="695" spans="1:4" x14ac:dyDescent="0.25">
      <c r="A695">
        <v>29</v>
      </c>
      <c r="B695" t="s">
        <v>470</v>
      </c>
      <c r="C695">
        <v>41</v>
      </c>
      <c r="D695" t="s">
        <v>482</v>
      </c>
    </row>
    <row r="696" spans="1:4" x14ac:dyDescent="0.25">
      <c r="A696">
        <v>29</v>
      </c>
      <c r="B696" t="s">
        <v>470</v>
      </c>
      <c r="C696">
        <v>42</v>
      </c>
      <c r="D696" t="s">
        <v>483</v>
      </c>
    </row>
    <row r="697" spans="1:4" x14ac:dyDescent="0.25">
      <c r="A697">
        <v>30</v>
      </c>
      <c r="B697" t="s">
        <v>471</v>
      </c>
      <c r="C697">
        <v>4</v>
      </c>
      <c r="D697" t="s">
        <v>1071</v>
      </c>
    </row>
    <row r="698" spans="1:4" x14ac:dyDescent="0.25">
      <c r="A698">
        <v>30</v>
      </c>
      <c r="B698" t="s">
        <v>471</v>
      </c>
      <c r="C698">
        <v>5</v>
      </c>
      <c r="D698" t="s">
        <v>460</v>
      </c>
    </row>
    <row r="699" spans="1:4" x14ac:dyDescent="0.25">
      <c r="A699">
        <v>30</v>
      </c>
      <c r="B699" t="s">
        <v>471</v>
      </c>
      <c r="C699">
        <v>6</v>
      </c>
      <c r="D699" t="s">
        <v>461</v>
      </c>
    </row>
    <row r="700" spans="1:4" x14ac:dyDescent="0.25">
      <c r="A700">
        <v>30</v>
      </c>
      <c r="B700" t="s">
        <v>471</v>
      </c>
      <c r="C700">
        <v>8</v>
      </c>
      <c r="D700" t="s">
        <v>1072</v>
      </c>
    </row>
    <row r="701" spans="1:4" x14ac:dyDescent="0.25">
      <c r="A701">
        <v>30</v>
      </c>
      <c r="B701" t="s">
        <v>471</v>
      </c>
      <c r="C701">
        <v>9</v>
      </c>
      <c r="D701" t="s">
        <v>1073</v>
      </c>
    </row>
    <row r="702" spans="1:4" x14ac:dyDescent="0.25">
      <c r="A702">
        <v>30</v>
      </c>
      <c r="B702" t="s">
        <v>471</v>
      </c>
      <c r="C702">
        <v>10</v>
      </c>
      <c r="D702" t="s">
        <v>1074</v>
      </c>
    </row>
    <row r="703" spans="1:4" x14ac:dyDescent="0.25">
      <c r="A703">
        <v>30</v>
      </c>
      <c r="B703" t="s">
        <v>471</v>
      </c>
      <c r="C703">
        <v>11</v>
      </c>
      <c r="D703" t="s">
        <v>1075</v>
      </c>
    </row>
    <row r="704" spans="1:4" x14ac:dyDescent="0.25">
      <c r="A704">
        <v>30</v>
      </c>
      <c r="B704" t="s">
        <v>471</v>
      </c>
      <c r="C704">
        <v>12</v>
      </c>
      <c r="D704" t="s">
        <v>1076</v>
      </c>
    </row>
    <row r="705" spans="1:4" x14ac:dyDescent="0.25">
      <c r="A705">
        <v>30</v>
      </c>
      <c r="B705" t="s">
        <v>471</v>
      </c>
      <c r="C705">
        <v>13</v>
      </c>
      <c r="D705" t="s">
        <v>1077</v>
      </c>
    </row>
    <row r="706" spans="1:4" x14ac:dyDescent="0.25">
      <c r="A706">
        <v>30</v>
      </c>
      <c r="B706" t="s">
        <v>471</v>
      </c>
      <c r="C706">
        <v>17</v>
      </c>
      <c r="D706" t="s">
        <v>1081</v>
      </c>
    </row>
    <row r="707" spans="1:4" x14ac:dyDescent="0.25">
      <c r="A707">
        <v>30</v>
      </c>
      <c r="B707" t="s">
        <v>471</v>
      </c>
      <c r="C707">
        <v>18</v>
      </c>
      <c r="D707" t="s">
        <v>1082</v>
      </c>
    </row>
    <row r="708" spans="1:4" x14ac:dyDescent="0.25">
      <c r="A708">
        <v>30</v>
      </c>
      <c r="B708" t="s">
        <v>471</v>
      </c>
      <c r="C708">
        <v>19</v>
      </c>
      <c r="D708" t="s">
        <v>1083</v>
      </c>
    </row>
    <row r="709" spans="1:4" x14ac:dyDescent="0.25">
      <c r="A709">
        <v>30</v>
      </c>
      <c r="B709" t="s">
        <v>471</v>
      </c>
      <c r="C709">
        <v>22</v>
      </c>
      <c r="D709" t="s">
        <v>463</v>
      </c>
    </row>
    <row r="710" spans="1:4" x14ac:dyDescent="0.25">
      <c r="A710">
        <v>30</v>
      </c>
      <c r="B710" t="s">
        <v>471</v>
      </c>
      <c r="C710">
        <v>23</v>
      </c>
      <c r="D710" t="s">
        <v>464</v>
      </c>
    </row>
    <row r="711" spans="1:4" x14ac:dyDescent="0.25">
      <c r="A711">
        <v>30</v>
      </c>
      <c r="B711" t="s">
        <v>471</v>
      </c>
      <c r="C711">
        <v>24</v>
      </c>
      <c r="D711" t="s">
        <v>465</v>
      </c>
    </row>
    <row r="712" spans="1:4" x14ac:dyDescent="0.25">
      <c r="A712">
        <v>30</v>
      </c>
      <c r="B712" t="s">
        <v>471</v>
      </c>
      <c r="C712">
        <v>28</v>
      </c>
      <c r="D712" t="s">
        <v>469</v>
      </c>
    </row>
    <row r="713" spans="1:4" x14ac:dyDescent="0.25">
      <c r="A713">
        <v>30</v>
      </c>
      <c r="B713" t="s">
        <v>471</v>
      </c>
      <c r="C713">
        <v>29</v>
      </c>
      <c r="D713" t="s">
        <v>470</v>
      </c>
    </row>
    <row r="714" spans="1:4" x14ac:dyDescent="0.25">
      <c r="A714">
        <v>30</v>
      </c>
      <c r="B714" t="s">
        <v>471</v>
      </c>
      <c r="C714">
        <v>31</v>
      </c>
      <c r="D714" t="s">
        <v>472</v>
      </c>
    </row>
    <row r="715" spans="1:4" x14ac:dyDescent="0.25">
      <c r="A715">
        <v>30</v>
      </c>
      <c r="B715" t="s">
        <v>471</v>
      </c>
      <c r="C715">
        <v>32</v>
      </c>
      <c r="D715" t="s">
        <v>473</v>
      </c>
    </row>
    <row r="716" spans="1:4" x14ac:dyDescent="0.25">
      <c r="A716">
        <v>30</v>
      </c>
      <c r="B716" t="s">
        <v>471</v>
      </c>
      <c r="C716">
        <v>33</v>
      </c>
      <c r="D716" t="s">
        <v>474</v>
      </c>
    </row>
    <row r="717" spans="1:4" x14ac:dyDescent="0.25">
      <c r="A717">
        <v>30</v>
      </c>
      <c r="B717" t="s">
        <v>471</v>
      </c>
      <c r="C717">
        <v>34</v>
      </c>
      <c r="D717" t="s">
        <v>475</v>
      </c>
    </row>
    <row r="718" spans="1:4" x14ac:dyDescent="0.25">
      <c r="A718">
        <v>30</v>
      </c>
      <c r="B718" t="s">
        <v>471</v>
      </c>
      <c r="C718">
        <v>36</v>
      </c>
      <c r="D718" t="s">
        <v>477</v>
      </c>
    </row>
    <row r="719" spans="1:4" x14ac:dyDescent="0.25">
      <c r="A719">
        <v>30</v>
      </c>
      <c r="B719" t="s">
        <v>471</v>
      </c>
      <c r="C719">
        <v>37</v>
      </c>
      <c r="D719" t="s">
        <v>478</v>
      </c>
    </row>
    <row r="720" spans="1:4" x14ac:dyDescent="0.25">
      <c r="A720">
        <v>30</v>
      </c>
      <c r="B720" t="s">
        <v>471</v>
      </c>
      <c r="C720">
        <v>38</v>
      </c>
      <c r="D720" t="s">
        <v>479</v>
      </c>
    </row>
    <row r="721" spans="1:4" x14ac:dyDescent="0.25">
      <c r="A721">
        <v>30</v>
      </c>
      <c r="B721" t="s">
        <v>471</v>
      </c>
      <c r="C721">
        <v>39</v>
      </c>
      <c r="D721" t="s">
        <v>480</v>
      </c>
    </row>
    <row r="722" spans="1:4" x14ac:dyDescent="0.25">
      <c r="A722">
        <v>30</v>
      </c>
      <c r="B722" t="s">
        <v>471</v>
      </c>
      <c r="C722">
        <v>40</v>
      </c>
      <c r="D722" t="s">
        <v>481</v>
      </c>
    </row>
    <row r="723" spans="1:4" x14ac:dyDescent="0.25">
      <c r="A723">
        <v>30</v>
      </c>
      <c r="B723" t="s">
        <v>471</v>
      </c>
      <c r="C723">
        <v>41</v>
      </c>
      <c r="D723" t="s">
        <v>482</v>
      </c>
    </row>
    <row r="724" spans="1:4" x14ac:dyDescent="0.25">
      <c r="A724">
        <v>30</v>
      </c>
      <c r="B724" t="s">
        <v>471</v>
      </c>
      <c r="C724">
        <v>43</v>
      </c>
      <c r="D724" t="s">
        <v>484</v>
      </c>
    </row>
    <row r="725" spans="1:4" x14ac:dyDescent="0.25">
      <c r="A725">
        <v>31</v>
      </c>
      <c r="B725" t="s">
        <v>472</v>
      </c>
      <c r="C725">
        <v>1</v>
      </c>
      <c r="D725" t="s">
        <v>1067</v>
      </c>
    </row>
    <row r="726" spans="1:4" x14ac:dyDescent="0.25">
      <c r="A726">
        <v>31</v>
      </c>
      <c r="B726" t="s">
        <v>472</v>
      </c>
      <c r="C726">
        <v>2</v>
      </c>
      <c r="D726" t="s">
        <v>1069</v>
      </c>
    </row>
    <row r="727" spans="1:4" x14ac:dyDescent="0.25">
      <c r="A727">
        <v>31</v>
      </c>
      <c r="B727" t="s">
        <v>472</v>
      </c>
      <c r="C727">
        <v>3</v>
      </c>
      <c r="D727" t="s">
        <v>1070</v>
      </c>
    </row>
    <row r="728" spans="1:4" x14ac:dyDescent="0.25">
      <c r="A728">
        <v>31</v>
      </c>
      <c r="B728" t="s">
        <v>472</v>
      </c>
      <c r="C728">
        <v>4</v>
      </c>
      <c r="D728" t="s">
        <v>1071</v>
      </c>
    </row>
    <row r="729" spans="1:4" x14ac:dyDescent="0.25">
      <c r="A729">
        <v>31</v>
      </c>
      <c r="B729" t="s">
        <v>472</v>
      </c>
      <c r="C729">
        <v>5</v>
      </c>
      <c r="D729" t="s">
        <v>460</v>
      </c>
    </row>
    <row r="730" spans="1:4" x14ac:dyDescent="0.25">
      <c r="A730">
        <v>31</v>
      </c>
      <c r="B730" t="s">
        <v>472</v>
      </c>
      <c r="C730">
        <v>6</v>
      </c>
      <c r="D730" t="s">
        <v>461</v>
      </c>
    </row>
    <row r="731" spans="1:4" x14ac:dyDescent="0.25">
      <c r="A731">
        <v>31</v>
      </c>
      <c r="B731" t="s">
        <v>472</v>
      </c>
      <c r="C731">
        <v>7</v>
      </c>
      <c r="D731" t="s">
        <v>462</v>
      </c>
    </row>
    <row r="732" spans="1:4" x14ac:dyDescent="0.25">
      <c r="A732">
        <v>31</v>
      </c>
      <c r="B732" t="s">
        <v>472</v>
      </c>
      <c r="C732">
        <v>8</v>
      </c>
      <c r="D732" t="s">
        <v>1072</v>
      </c>
    </row>
    <row r="733" spans="1:4" x14ac:dyDescent="0.25">
      <c r="A733">
        <v>31</v>
      </c>
      <c r="B733" t="s">
        <v>472</v>
      </c>
      <c r="C733">
        <v>9</v>
      </c>
      <c r="D733" t="s">
        <v>1073</v>
      </c>
    </row>
    <row r="734" spans="1:4" x14ac:dyDescent="0.25">
      <c r="A734">
        <v>31</v>
      </c>
      <c r="B734" t="s">
        <v>472</v>
      </c>
      <c r="C734">
        <v>10</v>
      </c>
      <c r="D734" t="s">
        <v>1074</v>
      </c>
    </row>
    <row r="735" spans="1:4" x14ac:dyDescent="0.25">
      <c r="A735">
        <v>31</v>
      </c>
      <c r="B735" t="s">
        <v>472</v>
      </c>
      <c r="C735">
        <v>12</v>
      </c>
      <c r="D735" t="s">
        <v>1076</v>
      </c>
    </row>
    <row r="736" spans="1:4" x14ac:dyDescent="0.25">
      <c r="A736">
        <v>31</v>
      </c>
      <c r="B736" t="s">
        <v>472</v>
      </c>
      <c r="C736">
        <v>13</v>
      </c>
      <c r="D736" t="s">
        <v>1077</v>
      </c>
    </row>
    <row r="737" spans="1:4" x14ac:dyDescent="0.25">
      <c r="A737">
        <v>31</v>
      </c>
      <c r="B737" t="s">
        <v>472</v>
      </c>
      <c r="C737">
        <v>14</v>
      </c>
      <c r="D737" t="s">
        <v>1078</v>
      </c>
    </row>
    <row r="738" spans="1:4" x14ac:dyDescent="0.25">
      <c r="A738">
        <v>31</v>
      </c>
      <c r="B738" t="s">
        <v>472</v>
      </c>
      <c r="C738">
        <v>15</v>
      </c>
      <c r="D738" t="s">
        <v>1079</v>
      </c>
    </row>
    <row r="739" spans="1:4" x14ac:dyDescent="0.25">
      <c r="A739">
        <v>31</v>
      </c>
      <c r="B739" t="s">
        <v>472</v>
      </c>
      <c r="C739">
        <v>16</v>
      </c>
      <c r="D739" t="s">
        <v>1080</v>
      </c>
    </row>
    <row r="740" spans="1:4" x14ac:dyDescent="0.25">
      <c r="A740">
        <v>31</v>
      </c>
      <c r="B740" t="s">
        <v>472</v>
      </c>
      <c r="C740">
        <v>17</v>
      </c>
      <c r="D740" t="s">
        <v>1081</v>
      </c>
    </row>
    <row r="741" spans="1:4" x14ac:dyDescent="0.25">
      <c r="A741">
        <v>31</v>
      </c>
      <c r="B741" t="s">
        <v>472</v>
      </c>
      <c r="C741">
        <v>20</v>
      </c>
      <c r="D741" t="s">
        <v>1084</v>
      </c>
    </row>
    <row r="742" spans="1:4" x14ac:dyDescent="0.25">
      <c r="A742">
        <v>31</v>
      </c>
      <c r="B742" t="s">
        <v>472</v>
      </c>
      <c r="C742">
        <v>21</v>
      </c>
      <c r="D742" t="s">
        <v>1085</v>
      </c>
    </row>
    <row r="743" spans="1:4" x14ac:dyDescent="0.25">
      <c r="A743">
        <v>31</v>
      </c>
      <c r="B743" t="s">
        <v>472</v>
      </c>
      <c r="C743">
        <v>27</v>
      </c>
      <c r="D743" t="s">
        <v>468</v>
      </c>
    </row>
    <row r="744" spans="1:4" x14ac:dyDescent="0.25">
      <c r="A744">
        <v>31</v>
      </c>
      <c r="B744" t="s">
        <v>472</v>
      </c>
      <c r="C744">
        <v>28</v>
      </c>
      <c r="D744" t="s">
        <v>469</v>
      </c>
    </row>
    <row r="745" spans="1:4" x14ac:dyDescent="0.25">
      <c r="A745">
        <v>31</v>
      </c>
      <c r="B745" t="s">
        <v>472</v>
      </c>
      <c r="C745">
        <v>29</v>
      </c>
      <c r="D745" t="s">
        <v>470</v>
      </c>
    </row>
    <row r="746" spans="1:4" x14ac:dyDescent="0.25">
      <c r="A746">
        <v>31</v>
      </c>
      <c r="B746" t="s">
        <v>472</v>
      </c>
      <c r="C746">
        <v>30</v>
      </c>
      <c r="D746" t="s">
        <v>471</v>
      </c>
    </row>
    <row r="747" spans="1:4" x14ac:dyDescent="0.25">
      <c r="A747">
        <v>31</v>
      </c>
      <c r="B747" t="s">
        <v>472</v>
      </c>
      <c r="C747">
        <v>41</v>
      </c>
      <c r="D747" t="s">
        <v>482</v>
      </c>
    </row>
    <row r="748" spans="1:4" x14ac:dyDescent="0.25">
      <c r="A748">
        <v>31</v>
      </c>
      <c r="B748" t="s">
        <v>472</v>
      </c>
      <c r="C748">
        <v>42</v>
      </c>
      <c r="D748" t="s">
        <v>483</v>
      </c>
    </row>
    <row r="749" spans="1:4" x14ac:dyDescent="0.25">
      <c r="A749">
        <v>31</v>
      </c>
      <c r="B749" t="s">
        <v>472</v>
      </c>
      <c r="C749">
        <v>43</v>
      </c>
      <c r="D749" t="s">
        <v>484</v>
      </c>
    </row>
    <row r="750" spans="1:4" x14ac:dyDescent="0.25">
      <c r="A750">
        <v>32</v>
      </c>
      <c r="B750" t="s">
        <v>473</v>
      </c>
      <c r="C750">
        <v>3</v>
      </c>
      <c r="D750" t="s">
        <v>1070</v>
      </c>
    </row>
    <row r="751" spans="1:4" x14ac:dyDescent="0.25">
      <c r="A751">
        <v>32</v>
      </c>
      <c r="B751" t="s">
        <v>473</v>
      </c>
      <c r="C751">
        <v>4</v>
      </c>
      <c r="D751" t="s">
        <v>1071</v>
      </c>
    </row>
    <row r="752" spans="1:4" x14ac:dyDescent="0.25">
      <c r="A752">
        <v>32</v>
      </c>
      <c r="B752" t="s">
        <v>473</v>
      </c>
      <c r="C752">
        <v>14</v>
      </c>
      <c r="D752" t="s">
        <v>1078</v>
      </c>
    </row>
    <row r="753" spans="1:4" x14ac:dyDescent="0.25">
      <c r="A753">
        <v>32</v>
      </c>
      <c r="B753" t="s">
        <v>473</v>
      </c>
      <c r="C753">
        <v>15</v>
      </c>
      <c r="D753" t="s">
        <v>1079</v>
      </c>
    </row>
    <row r="754" spans="1:4" x14ac:dyDescent="0.25">
      <c r="A754">
        <v>32</v>
      </c>
      <c r="B754" t="s">
        <v>473</v>
      </c>
      <c r="C754">
        <v>16</v>
      </c>
      <c r="D754" t="s">
        <v>1080</v>
      </c>
    </row>
    <row r="755" spans="1:4" x14ac:dyDescent="0.25">
      <c r="A755">
        <v>32</v>
      </c>
      <c r="B755" t="s">
        <v>473</v>
      </c>
      <c r="C755">
        <v>17</v>
      </c>
      <c r="D755" t="s">
        <v>1081</v>
      </c>
    </row>
    <row r="756" spans="1:4" x14ac:dyDescent="0.25">
      <c r="A756">
        <v>32</v>
      </c>
      <c r="B756" t="s">
        <v>473</v>
      </c>
      <c r="C756">
        <v>20</v>
      </c>
      <c r="D756" t="s">
        <v>1084</v>
      </c>
    </row>
    <row r="757" spans="1:4" x14ac:dyDescent="0.25">
      <c r="A757">
        <v>32</v>
      </c>
      <c r="B757" t="s">
        <v>473</v>
      </c>
      <c r="C757">
        <v>21</v>
      </c>
      <c r="D757" t="s">
        <v>1085</v>
      </c>
    </row>
    <row r="758" spans="1:4" x14ac:dyDescent="0.25">
      <c r="A758">
        <v>32</v>
      </c>
      <c r="B758" t="s">
        <v>473</v>
      </c>
      <c r="C758">
        <v>25</v>
      </c>
      <c r="D758" t="s">
        <v>466</v>
      </c>
    </row>
    <row r="759" spans="1:4" x14ac:dyDescent="0.25">
      <c r="A759">
        <v>32</v>
      </c>
      <c r="B759" t="s">
        <v>473</v>
      </c>
      <c r="C759">
        <v>27</v>
      </c>
      <c r="D759" t="s">
        <v>468</v>
      </c>
    </row>
    <row r="760" spans="1:4" x14ac:dyDescent="0.25">
      <c r="A760">
        <v>32</v>
      </c>
      <c r="B760" t="s">
        <v>473</v>
      </c>
      <c r="C760">
        <v>28</v>
      </c>
      <c r="D760" t="s">
        <v>469</v>
      </c>
    </row>
    <row r="761" spans="1:4" x14ac:dyDescent="0.25">
      <c r="A761">
        <v>32</v>
      </c>
      <c r="B761" t="s">
        <v>473</v>
      </c>
      <c r="C761">
        <v>29</v>
      </c>
      <c r="D761" t="s">
        <v>470</v>
      </c>
    </row>
    <row r="762" spans="1:4" x14ac:dyDescent="0.25">
      <c r="A762">
        <v>32</v>
      </c>
      <c r="B762" t="s">
        <v>473</v>
      </c>
      <c r="C762">
        <v>30</v>
      </c>
      <c r="D762" t="s">
        <v>471</v>
      </c>
    </row>
    <row r="763" spans="1:4" x14ac:dyDescent="0.25">
      <c r="A763">
        <v>32</v>
      </c>
      <c r="B763" t="s">
        <v>473</v>
      </c>
      <c r="C763">
        <v>37</v>
      </c>
      <c r="D763" t="s">
        <v>478</v>
      </c>
    </row>
    <row r="764" spans="1:4" x14ac:dyDescent="0.25">
      <c r="A764">
        <v>32</v>
      </c>
      <c r="B764" t="s">
        <v>473</v>
      </c>
      <c r="C764">
        <v>42</v>
      </c>
      <c r="D764" t="s">
        <v>483</v>
      </c>
    </row>
    <row r="765" spans="1:4" x14ac:dyDescent="0.25">
      <c r="A765">
        <v>32</v>
      </c>
      <c r="B765" t="s">
        <v>473</v>
      </c>
      <c r="C765">
        <v>43</v>
      </c>
      <c r="D765" t="s">
        <v>484</v>
      </c>
    </row>
    <row r="766" spans="1:4" x14ac:dyDescent="0.25">
      <c r="A766">
        <v>33</v>
      </c>
      <c r="B766" t="s">
        <v>474</v>
      </c>
      <c r="C766">
        <v>3</v>
      </c>
      <c r="D766" t="s">
        <v>1070</v>
      </c>
    </row>
    <row r="767" spans="1:4" x14ac:dyDescent="0.25">
      <c r="A767">
        <v>33</v>
      </c>
      <c r="B767" t="s">
        <v>474</v>
      </c>
      <c r="C767">
        <v>4</v>
      </c>
      <c r="D767" t="s">
        <v>1071</v>
      </c>
    </row>
    <row r="768" spans="1:4" x14ac:dyDescent="0.25">
      <c r="A768">
        <v>33</v>
      </c>
      <c r="B768" t="s">
        <v>474</v>
      </c>
      <c r="C768">
        <v>14</v>
      </c>
      <c r="D768" t="s">
        <v>1078</v>
      </c>
    </row>
    <row r="769" spans="1:4" x14ac:dyDescent="0.25">
      <c r="A769">
        <v>33</v>
      </c>
      <c r="B769" t="s">
        <v>474</v>
      </c>
      <c r="C769">
        <v>15</v>
      </c>
      <c r="D769" t="s">
        <v>1079</v>
      </c>
    </row>
    <row r="770" spans="1:4" x14ac:dyDescent="0.25">
      <c r="A770">
        <v>33</v>
      </c>
      <c r="B770" t="s">
        <v>474</v>
      </c>
      <c r="C770">
        <v>16</v>
      </c>
      <c r="D770" t="s">
        <v>1080</v>
      </c>
    </row>
    <row r="771" spans="1:4" x14ac:dyDescent="0.25">
      <c r="A771">
        <v>33</v>
      </c>
      <c r="B771" t="s">
        <v>474</v>
      </c>
      <c r="C771">
        <v>17</v>
      </c>
      <c r="D771" t="s">
        <v>1081</v>
      </c>
    </row>
    <row r="772" spans="1:4" x14ac:dyDescent="0.25">
      <c r="A772">
        <v>33</v>
      </c>
      <c r="B772" t="s">
        <v>474</v>
      </c>
      <c r="C772">
        <v>20</v>
      </c>
      <c r="D772" t="s">
        <v>1084</v>
      </c>
    </row>
    <row r="773" spans="1:4" x14ac:dyDescent="0.25">
      <c r="A773">
        <v>33</v>
      </c>
      <c r="B773" t="s">
        <v>474</v>
      </c>
      <c r="C773">
        <v>21</v>
      </c>
      <c r="D773" t="s">
        <v>1085</v>
      </c>
    </row>
    <row r="774" spans="1:4" x14ac:dyDescent="0.25">
      <c r="A774">
        <v>33</v>
      </c>
      <c r="B774" t="s">
        <v>474</v>
      </c>
      <c r="C774">
        <v>25</v>
      </c>
      <c r="D774" t="s">
        <v>466</v>
      </c>
    </row>
    <row r="775" spans="1:4" x14ac:dyDescent="0.25">
      <c r="A775">
        <v>33</v>
      </c>
      <c r="B775" t="s">
        <v>474</v>
      </c>
      <c r="C775">
        <v>26</v>
      </c>
      <c r="D775" t="s">
        <v>467</v>
      </c>
    </row>
    <row r="776" spans="1:4" x14ac:dyDescent="0.25">
      <c r="A776">
        <v>33</v>
      </c>
      <c r="B776" t="s">
        <v>474</v>
      </c>
      <c r="C776">
        <v>27</v>
      </c>
      <c r="D776" t="s">
        <v>468</v>
      </c>
    </row>
    <row r="777" spans="1:4" x14ac:dyDescent="0.25">
      <c r="A777">
        <v>33</v>
      </c>
      <c r="B777" t="s">
        <v>474</v>
      </c>
      <c r="C777">
        <v>30</v>
      </c>
      <c r="D777" t="s">
        <v>471</v>
      </c>
    </row>
    <row r="778" spans="1:4" x14ac:dyDescent="0.25">
      <c r="A778">
        <v>33</v>
      </c>
      <c r="B778" t="s">
        <v>474</v>
      </c>
      <c r="C778">
        <v>35</v>
      </c>
      <c r="D778" t="s">
        <v>476</v>
      </c>
    </row>
    <row r="779" spans="1:4" x14ac:dyDescent="0.25">
      <c r="A779">
        <v>33</v>
      </c>
      <c r="B779" t="s">
        <v>474</v>
      </c>
      <c r="C779">
        <v>42</v>
      </c>
      <c r="D779" t="s">
        <v>483</v>
      </c>
    </row>
    <row r="780" spans="1:4" x14ac:dyDescent="0.25">
      <c r="A780">
        <v>34</v>
      </c>
      <c r="B780" t="s">
        <v>475</v>
      </c>
      <c r="C780">
        <v>1</v>
      </c>
      <c r="D780" t="s">
        <v>1067</v>
      </c>
    </row>
    <row r="781" spans="1:4" x14ac:dyDescent="0.25">
      <c r="A781">
        <v>34</v>
      </c>
      <c r="B781" t="s">
        <v>475</v>
      </c>
      <c r="C781">
        <v>2</v>
      </c>
      <c r="D781" t="s">
        <v>1069</v>
      </c>
    </row>
    <row r="782" spans="1:4" x14ac:dyDescent="0.25">
      <c r="A782">
        <v>34</v>
      </c>
      <c r="B782" t="s">
        <v>475</v>
      </c>
      <c r="C782">
        <v>3</v>
      </c>
      <c r="D782" t="s">
        <v>1070</v>
      </c>
    </row>
    <row r="783" spans="1:4" x14ac:dyDescent="0.25">
      <c r="A783">
        <v>34</v>
      </c>
      <c r="B783" t="s">
        <v>475</v>
      </c>
      <c r="C783">
        <v>4</v>
      </c>
      <c r="D783" t="s">
        <v>1071</v>
      </c>
    </row>
    <row r="784" spans="1:4" x14ac:dyDescent="0.25">
      <c r="A784">
        <v>34</v>
      </c>
      <c r="B784" t="s">
        <v>475</v>
      </c>
      <c r="C784">
        <v>5</v>
      </c>
      <c r="D784" t="s">
        <v>460</v>
      </c>
    </row>
    <row r="785" spans="1:4" x14ac:dyDescent="0.25">
      <c r="A785">
        <v>34</v>
      </c>
      <c r="B785" t="s">
        <v>475</v>
      </c>
      <c r="C785">
        <v>6</v>
      </c>
      <c r="D785" t="s">
        <v>461</v>
      </c>
    </row>
    <row r="786" spans="1:4" x14ac:dyDescent="0.25">
      <c r="A786">
        <v>34</v>
      </c>
      <c r="B786" t="s">
        <v>475</v>
      </c>
      <c r="C786">
        <v>7</v>
      </c>
      <c r="D786" t="s">
        <v>462</v>
      </c>
    </row>
    <row r="787" spans="1:4" x14ac:dyDescent="0.25">
      <c r="A787">
        <v>34</v>
      </c>
      <c r="B787" t="s">
        <v>475</v>
      </c>
      <c r="C787">
        <v>8</v>
      </c>
      <c r="D787" t="s">
        <v>1072</v>
      </c>
    </row>
    <row r="788" spans="1:4" x14ac:dyDescent="0.25">
      <c r="A788">
        <v>34</v>
      </c>
      <c r="B788" t="s">
        <v>475</v>
      </c>
      <c r="C788">
        <v>9</v>
      </c>
      <c r="D788" t="s">
        <v>1073</v>
      </c>
    </row>
    <row r="789" spans="1:4" x14ac:dyDescent="0.25">
      <c r="A789">
        <v>34</v>
      </c>
      <c r="B789" t="s">
        <v>475</v>
      </c>
      <c r="C789">
        <v>10</v>
      </c>
      <c r="D789" t="s">
        <v>1074</v>
      </c>
    </row>
    <row r="790" spans="1:4" x14ac:dyDescent="0.25">
      <c r="A790">
        <v>34</v>
      </c>
      <c r="B790" t="s">
        <v>475</v>
      </c>
      <c r="C790">
        <v>12</v>
      </c>
      <c r="D790" t="s">
        <v>1076</v>
      </c>
    </row>
    <row r="791" spans="1:4" x14ac:dyDescent="0.25">
      <c r="A791">
        <v>34</v>
      </c>
      <c r="B791" t="s">
        <v>475</v>
      </c>
      <c r="C791">
        <v>13</v>
      </c>
      <c r="D791" t="s">
        <v>1077</v>
      </c>
    </row>
    <row r="792" spans="1:4" x14ac:dyDescent="0.25">
      <c r="A792">
        <v>34</v>
      </c>
      <c r="B792" t="s">
        <v>475</v>
      </c>
      <c r="C792">
        <v>14</v>
      </c>
      <c r="D792" t="s">
        <v>1078</v>
      </c>
    </row>
    <row r="793" spans="1:4" x14ac:dyDescent="0.25">
      <c r="A793">
        <v>34</v>
      </c>
      <c r="B793" t="s">
        <v>475</v>
      </c>
      <c r="C793">
        <v>15</v>
      </c>
      <c r="D793" t="s">
        <v>1079</v>
      </c>
    </row>
    <row r="794" spans="1:4" x14ac:dyDescent="0.25">
      <c r="A794">
        <v>34</v>
      </c>
      <c r="B794" t="s">
        <v>475</v>
      </c>
      <c r="C794">
        <v>16</v>
      </c>
      <c r="D794" t="s">
        <v>1080</v>
      </c>
    </row>
    <row r="795" spans="1:4" x14ac:dyDescent="0.25">
      <c r="A795">
        <v>34</v>
      </c>
      <c r="B795" t="s">
        <v>475</v>
      </c>
      <c r="C795">
        <v>17</v>
      </c>
      <c r="D795" t="s">
        <v>1081</v>
      </c>
    </row>
    <row r="796" spans="1:4" x14ac:dyDescent="0.25">
      <c r="A796">
        <v>34</v>
      </c>
      <c r="B796" t="s">
        <v>475</v>
      </c>
      <c r="C796">
        <v>20</v>
      </c>
      <c r="D796" t="s">
        <v>1084</v>
      </c>
    </row>
    <row r="797" spans="1:4" x14ac:dyDescent="0.25">
      <c r="A797">
        <v>34</v>
      </c>
      <c r="B797" t="s">
        <v>475</v>
      </c>
      <c r="C797">
        <v>21</v>
      </c>
      <c r="D797" t="s">
        <v>1085</v>
      </c>
    </row>
    <row r="798" spans="1:4" x14ac:dyDescent="0.25">
      <c r="A798">
        <v>34</v>
      </c>
      <c r="B798" t="s">
        <v>475</v>
      </c>
      <c r="C798">
        <v>25</v>
      </c>
      <c r="D798" t="s">
        <v>466</v>
      </c>
    </row>
    <row r="799" spans="1:4" x14ac:dyDescent="0.25">
      <c r="A799">
        <v>34</v>
      </c>
      <c r="B799" t="s">
        <v>475</v>
      </c>
      <c r="C799">
        <v>27</v>
      </c>
      <c r="D799" t="s">
        <v>468</v>
      </c>
    </row>
    <row r="800" spans="1:4" x14ac:dyDescent="0.25">
      <c r="A800">
        <v>34</v>
      </c>
      <c r="B800" t="s">
        <v>475</v>
      </c>
      <c r="C800">
        <v>28</v>
      </c>
      <c r="D800" t="s">
        <v>469</v>
      </c>
    </row>
    <row r="801" spans="1:4" x14ac:dyDescent="0.25">
      <c r="A801">
        <v>34</v>
      </c>
      <c r="B801" t="s">
        <v>475</v>
      </c>
      <c r="C801">
        <v>29</v>
      </c>
      <c r="D801" t="s">
        <v>470</v>
      </c>
    </row>
    <row r="802" spans="1:4" x14ac:dyDescent="0.25">
      <c r="A802">
        <v>34</v>
      </c>
      <c r="B802" t="s">
        <v>475</v>
      </c>
      <c r="C802">
        <v>30</v>
      </c>
      <c r="D802" t="s">
        <v>471</v>
      </c>
    </row>
    <row r="803" spans="1:4" x14ac:dyDescent="0.25">
      <c r="A803">
        <v>34</v>
      </c>
      <c r="B803" t="s">
        <v>475</v>
      </c>
      <c r="C803">
        <v>37</v>
      </c>
      <c r="D803" t="s">
        <v>478</v>
      </c>
    </row>
    <row r="804" spans="1:4" x14ac:dyDescent="0.25">
      <c r="A804">
        <v>34</v>
      </c>
      <c r="B804" t="s">
        <v>475</v>
      </c>
      <c r="C804">
        <v>41</v>
      </c>
      <c r="D804" t="s">
        <v>482</v>
      </c>
    </row>
    <row r="805" spans="1:4" x14ac:dyDescent="0.25">
      <c r="A805">
        <v>34</v>
      </c>
      <c r="B805" t="s">
        <v>475</v>
      </c>
      <c r="C805">
        <v>42</v>
      </c>
      <c r="D805" t="s">
        <v>483</v>
      </c>
    </row>
    <row r="806" spans="1:4" x14ac:dyDescent="0.25">
      <c r="A806">
        <v>34</v>
      </c>
      <c r="B806" t="s">
        <v>475</v>
      </c>
      <c r="C806">
        <v>43</v>
      </c>
      <c r="D806" t="s">
        <v>484</v>
      </c>
    </row>
    <row r="807" spans="1:4" x14ac:dyDescent="0.25">
      <c r="A807">
        <v>35</v>
      </c>
      <c r="B807" t="s">
        <v>476</v>
      </c>
      <c r="C807">
        <v>4</v>
      </c>
      <c r="D807" t="s">
        <v>1071</v>
      </c>
    </row>
    <row r="808" spans="1:4" x14ac:dyDescent="0.25">
      <c r="A808">
        <v>35</v>
      </c>
      <c r="B808" t="s">
        <v>476</v>
      </c>
      <c r="C808">
        <v>5</v>
      </c>
      <c r="D808" t="s">
        <v>460</v>
      </c>
    </row>
    <row r="809" spans="1:4" x14ac:dyDescent="0.25">
      <c r="A809">
        <v>35</v>
      </c>
      <c r="B809" t="s">
        <v>476</v>
      </c>
      <c r="C809">
        <v>6</v>
      </c>
      <c r="D809" t="s">
        <v>461</v>
      </c>
    </row>
    <row r="810" spans="1:4" x14ac:dyDescent="0.25">
      <c r="A810">
        <v>35</v>
      </c>
      <c r="B810" t="s">
        <v>476</v>
      </c>
      <c r="C810">
        <v>8</v>
      </c>
      <c r="D810" t="s">
        <v>1072</v>
      </c>
    </row>
    <row r="811" spans="1:4" x14ac:dyDescent="0.25">
      <c r="A811">
        <v>35</v>
      </c>
      <c r="B811" t="s">
        <v>476</v>
      </c>
      <c r="C811">
        <v>9</v>
      </c>
      <c r="D811" t="s">
        <v>1073</v>
      </c>
    </row>
    <row r="812" spans="1:4" x14ac:dyDescent="0.25">
      <c r="A812">
        <v>35</v>
      </c>
      <c r="B812" t="s">
        <v>476</v>
      </c>
      <c r="C812">
        <v>10</v>
      </c>
      <c r="D812" t="s">
        <v>1074</v>
      </c>
    </row>
    <row r="813" spans="1:4" x14ac:dyDescent="0.25">
      <c r="A813">
        <v>35</v>
      </c>
      <c r="B813" t="s">
        <v>476</v>
      </c>
      <c r="C813">
        <v>11</v>
      </c>
      <c r="D813" t="s">
        <v>1075</v>
      </c>
    </row>
    <row r="814" spans="1:4" x14ac:dyDescent="0.25">
      <c r="A814">
        <v>35</v>
      </c>
      <c r="B814" t="s">
        <v>476</v>
      </c>
      <c r="C814">
        <v>12</v>
      </c>
      <c r="D814" t="s">
        <v>1076</v>
      </c>
    </row>
    <row r="815" spans="1:4" x14ac:dyDescent="0.25">
      <c r="A815">
        <v>35</v>
      </c>
      <c r="B815" t="s">
        <v>476</v>
      </c>
      <c r="C815">
        <v>13</v>
      </c>
      <c r="D815" t="s">
        <v>1077</v>
      </c>
    </row>
    <row r="816" spans="1:4" x14ac:dyDescent="0.25">
      <c r="A816">
        <v>35</v>
      </c>
      <c r="B816" t="s">
        <v>476</v>
      </c>
      <c r="C816">
        <v>17</v>
      </c>
      <c r="D816" t="s">
        <v>1081</v>
      </c>
    </row>
    <row r="817" spans="1:4" x14ac:dyDescent="0.25">
      <c r="A817">
        <v>35</v>
      </c>
      <c r="B817" t="s">
        <v>476</v>
      </c>
      <c r="C817">
        <v>18</v>
      </c>
      <c r="D817" t="s">
        <v>1082</v>
      </c>
    </row>
    <row r="818" spans="1:4" x14ac:dyDescent="0.25">
      <c r="A818">
        <v>35</v>
      </c>
      <c r="B818" t="s">
        <v>476</v>
      </c>
      <c r="C818">
        <v>19</v>
      </c>
      <c r="D818" t="s">
        <v>1083</v>
      </c>
    </row>
    <row r="819" spans="1:4" x14ac:dyDescent="0.25">
      <c r="A819">
        <v>35</v>
      </c>
      <c r="B819" t="s">
        <v>476</v>
      </c>
      <c r="C819">
        <v>22</v>
      </c>
      <c r="D819" t="s">
        <v>463</v>
      </c>
    </row>
    <row r="820" spans="1:4" x14ac:dyDescent="0.25">
      <c r="A820">
        <v>35</v>
      </c>
      <c r="B820" t="s">
        <v>476</v>
      </c>
      <c r="C820">
        <v>23</v>
      </c>
      <c r="D820" t="s">
        <v>464</v>
      </c>
    </row>
    <row r="821" spans="1:4" x14ac:dyDescent="0.25">
      <c r="A821">
        <v>35</v>
      </c>
      <c r="B821" t="s">
        <v>476</v>
      </c>
      <c r="C821">
        <v>28</v>
      </c>
      <c r="D821" t="s">
        <v>469</v>
      </c>
    </row>
    <row r="822" spans="1:4" x14ac:dyDescent="0.25">
      <c r="A822">
        <v>35</v>
      </c>
      <c r="B822" t="s">
        <v>476</v>
      </c>
      <c r="C822">
        <v>29</v>
      </c>
      <c r="D822" t="s">
        <v>470</v>
      </c>
    </row>
    <row r="823" spans="1:4" x14ac:dyDescent="0.25">
      <c r="A823">
        <v>35</v>
      </c>
      <c r="B823" t="s">
        <v>476</v>
      </c>
      <c r="C823">
        <v>33</v>
      </c>
      <c r="D823" t="s">
        <v>474</v>
      </c>
    </row>
    <row r="824" spans="1:4" x14ac:dyDescent="0.25">
      <c r="A824">
        <v>35</v>
      </c>
      <c r="B824" t="s">
        <v>476</v>
      </c>
      <c r="C824">
        <v>36</v>
      </c>
      <c r="D824" t="s">
        <v>477</v>
      </c>
    </row>
    <row r="825" spans="1:4" x14ac:dyDescent="0.25">
      <c r="A825">
        <v>35</v>
      </c>
      <c r="B825" t="s">
        <v>476</v>
      </c>
      <c r="C825">
        <v>37</v>
      </c>
      <c r="D825" t="s">
        <v>478</v>
      </c>
    </row>
    <row r="826" spans="1:4" x14ac:dyDescent="0.25">
      <c r="A826">
        <v>35</v>
      </c>
      <c r="B826" t="s">
        <v>476</v>
      </c>
      <c r="C826">
        <v>40</v>
      </c>
      <c r="D826" t="s">
        <v>481</v>
      </c>
    </row>
    <row r="827" spans="1:4" x14ac:dyDescent="0.25">
      <c r="A827">
        <v>35</v>
      </c>
      <c r="B827" t="s">
        <v>476</v>
      </c>
      <c r="C827">
        <v>41</v>
      </c>
      <c r="D827" t="s">
        <v>482</v>
      </c>
    </row>
    <row r="828" spans="1:4" x14ac:dyDescent="0.25">
      <c r="A828">
        <v>35</v>
      </c>
      <c r="B828" t="s">
        <v>476</v>
      </c>
      <c r="C828">
        <v>43</v>
      </c>
      <c r="D828" t="s">
        <v>484</v>
      </c>
    </row>
    <row r="829" spans="1:4" x14ac:dyDescent="0.25">
      <c r="A829">
        <v>36</v>
      </c>
      <c r="B829" t="s">
        <v>477</v>
      </c>
      <c r="C829">
        <v>3</v>
      </c>
      <c r="D829" t="s">
        <v>1070</v>
      </c>
    </row>
    <row r="830" spans="1:4" x14ac:dyDescent="0.25">
      <c r="A830">
        <v>36</v>
      </c>
      <c r="B830" t="s">
        <v>477</v>
      </c>
      <c r="C830">
        <v>4</v>
      </c>
      <c r="D830" t="s">
        <v>1071</v>
      </c>
    </row>
    <row r="831" spans="1:4" x14ac:dyDescent="0.25">
      <c r="A831">
        <v>36</v>
      </c>
      <c r="B831" t="s">
        <v>477</v>
      </c>
      <c r="C831">
        <v>14</v>
      </c>
      <c r="D831" t="s">
        <v>1078</v>
      </c>
    </row>
    <row r="832" spans="1:4" x14ac:dyDescent="0.25">
      <c r="A832">
        <v>36</v>
      </c>
      <c r="B832" t="s">
        <v>477</v>
      </c>
      <c r="C832">
        <v>15</v>
      </c>
      <c r="D832" t="s">
        <v>1079</v>
      </c>
    </row>
    <row r="833" spans="1:4" x14ac:dyDescent="0.25">
      <c r="A833">
        <v>36</v>
      </c>
      <c r="B833" t="s">
        <v>477</v>
      </c>
      <c r="C833">
        <v>16</v>
      </c>
      <c r="D833" t="s">
        <v>1080</v>
      </c>
    </row>
    <row r="834" spans="1:4" x14ac:dyDescent="0.25">
      <c r="A834">
        <v>36</v>
      </c>
      <c r="B834" t="s">
        <v>477</v>
      </c>
      <c r="C834">
        <v>17</v>
      </c>
      <c r="D834" t="s">
        <v>1081</v>
      </c>
    </row>
    <row r="835" spans="1:4" x14ac:dyDescent="0.25">
      <c r="A835">
        <v>36</v>
      </c>
      <c r="B835" t="s">
        <v>477</v>
      </c>
      <c r="C835">
        <v>20</v>
      </c>
      <c r="D835" t="s">
        <v>1084</v>
      </c>
    </row>
    <row r="836" spans="1:4" x14ac:dyDescent="0.25">
      <c r="A836">
        <v>36</v>
      </c>
      <c r="B836" t="s">
        <v>477</v>
      </c>
      <c r="C836">
        <v>21</v>
      </c>
      <c r="D836" t="s">
        <v>1085</v>
      </c>
    </row>
    <row r="837" spans="1:4" x14ac:dyDescent="0.25">
      <c r="A837">
        <v>36</v>
      </c>
      <c r="B837" t="s">
        <v>477</v>
      </c>
      <c r="C837">
        <v>25</v>
      </c>
      <c r="D837" t="s">
        <v>466</v>
      </c>
    </row>
    <row r="838" spans="1:4" x14ac:dyDescent="0.25">
      <c r="A838">
        <v>36</v>
      </c>
      <c r="B838" t="s">
        <v>477</v>
      </c>
      <c r="C838">
        <v>26</v>
      </c>
      <c r="D838" t="s">
        <v>467</v>
      </c>
    </row>
    <row r="839" spans="1:4" x14ac:dyDescent="0.25">
      <c r="A839">
        <v>36</v>
      </c>
      <c r="B839" t="s">
        <v>477</v>
      </c>
      <c r="C839">
        <v>27</v>
      </c>
      <c r="D839" t="s">
        <v>468</v>
      </c>
    </row>
    <row r="840" spans="1:4" x14ac:dyDescent="0.25">
      <c r="A840">
        <v>36</v>
      </c>
      <c r="B840" t="s">
        <v>477</v>
      </c>
      <c r="C840">
        <v>30</v>
      </c>
      <c r="D840" t="s">
        <v>471</v>
      </c>
    </row>
    <row r="841" spans="1:4" x14ac:dyDescent="0.25">
      <c r="A841">
        <v>36</v>
      </c>
      <c r="B841" t="s">
        <v>477</v>
      </c>
      <c r="C841">
        <v>35</v>
      </c>
      <c r="D841" t="s">
        <v>476</v>
      </c>
    </row>
    <row r="842" spans="1:4" x14ac:dyDescent="0.25">
      <c r="A842">
        <v>36</v>
      </c>
      <c r="B842" t="s">
        <v>477</v>
      </c>
      <c r="C842">
        <v>42</v>
      </c>
      <c r="D842" t="s">
        <v>483</v>
      </c>
    </row>
    <row r="843" spans="1:4" x14ac:dyDescent="0.25">
      <c r="A843">
        <v>37</v>
      </c>
      <c r="B843" t="s">
        <v>478</v>
      </c>
      <c r="C843">
        <v>1</v>
      </c>
      <c r="D843" t="s">
        <v>1067</v>
      </c>
    </row>
    <row r="844" spans="1:4" x14ac:dyDescent="0.25">
      <c r="A844">
        <v>37</v>
      </c>
      <c r="B844" t="s">
        <v>478</v>
      </c>
      <c r="C844">
        <v>2</v>
      </c>
      <c r="D844" t="s">
        <v>1069</v>
      </c>
    </row>
    <row r="845" spans="1:4" x14ac:dyDescent="0.25">
      <c r="A845">
        <v>37</v>
      </c>
      <c r="B845" t="s">
        <v>478</v>
      </c>
      <c r="C845">
        <v>3</v>
      </c>
      <c r="D845" t="s">
        <v>1070</v>
      </c>
    </row>
    <row r="846" spans="1:4" x14ac:dyDescent="0.25">
      <c r="A846">
        <v>37</v>
      </c>
      <c r="B846" t="s">
        <v>478</v>
      </c>
      <c r="C846">
        <v>4</v>
      </c>
      <c r="D846" t="s">
        <v>1071</v>
      </c>
    </row>
    <row r="847" spans="1:4" x14ac:dyDescent="0.25">
      <c r="A847">
        <v>37</v>
      </c>
      <c r="B847" t="s">
        <v>478</v>
      </c>
      <c r="C847">
        <v>8</v>
      </c>
      <c r="D847" t="s">
        <v>1072</v>
      </c>
    </row>
    <row r="848" spans="1:4" x14ac:dyDescent="0.25">
      <c r="A848">
        <v>37</v>
      </c>
      <c r="B848" t="s">
        <v>478</v>
      </c>
      <c r="C848">
        <v>9</v>
      </c>
      <c r="D848" t="s">
        <v>1073</v>
      </c>
    </row>
    <row r="849" spans="1:4" x14ac:dyDescent="0.25">
      <c r="A849">
        <v>37</v>
      </c>
      <c r="B849" t="s">
        <v>478</v>
      </c>
      <c r="C849">
        <v>10</v>
      </c>
      <c r="D849" t="s">
        <v>1074</v>
      </c>
    </row>
    <row r="850" spans="1:4" x14ac:dyDescent="0.25">
      <c r="A850">
        <v>37</v>
      </c>
      <c r="B850" t="s">
        <v>478</v>
      </c>
      <c r="C850">
        <v>11</v>
      </c>
      <c r="D850" t="s">
        <v>1075</v>
      </c>
    </row>
    <row r="851" spans="1:4" x14ac:dyDescent="0.25">
      <c r="A851">
        <v>37</v>
      </c>
      <c r="B851" t="s">
        <v>478</v>
      </c>
      <c r="C851">
        <v>12</v>
      </c>
      <c r="D851" t="s">
        <v>1076</v>
      </c>
    </row>
    <row r="852" spans="1:4" x14ac:dyDescent="0.25">
      <c r="A852">
        <v>37</v>
      </c>
      <c r="B852" t="s">
        <v>478</v>
      </c>
      <c r="C852">
        <v>13</v>
      </c>
      <c r="D852" t="s">
        <v>1077</v>
      </c>
    </row>
    <row r="853" spans="1:4" x14ac:dyDescent="0.25">
      <c r="A853">
        <v>37</v>
      </c>
      <c r="B853" t="s">
        <v>478</v>
      </c>
      <c r="C853">
        <v>14</v>
      </c>
      <c r="D853" t="s">
        <v>1078</v>
      </c>
    </row>
    <row r="854" spans="1:4" x14ac:dyDescent="0.25">
      <c r="A854">
        <v>37</v>
      </c>
      <c r="B854" t="s">
        <v>478</v>
      </c>
      <c r="C854">
        <v>15</v>
      </c>
      <c r="D854" t="s">
        <v>1079</v>
      </c>
    </row>
    <row r="855" spans="1:4" x14ac:dyDescent="0.25">
      <c r="A855">
        <v>37</v>
      </c>
      <c r="B855" t="s">
        <v>478</v>
      </c>
      <c r="C855">
        <v>16</v>
      </c>
      <c r="D855" t="s">
        <v>1080</v>
      </c>
    </row>
    <row r="856" spans="1:4" x14ac:dyDescent="0.25">
      <c r="A856">
        <v>37</v>
      </c>
      <c r="B856" t="s">
        <v>478</v>
      </c>
      <c r="C856">
        <v>17</v>
      </c>
      <c r="D856" t="s">
        <v>1081</v>
      </c>
    </row>
    <row r="857" spans="1:4" x14ac:dyDescent="0.25">
      <c r="A857">
        <v>37</v>
      </c>
      <c r="B857" t="s">
        <v>478</v>
      </c>
      <c r="C857">
        <v>18</v>
      </c>
      <c r="D857" t="s">
        <v>1082</v>
      </c>
    </row>
    <row r="858" spans="1:4" x14ac:dyDescent="0.25">
      <c r="A858">
        <v>37</v>
      </c>
      <c r="B858" t="s">
        <v>478</v>
      </c>
      <c r="C858">
        <v>19</v>
      </c>
      <c r="D858" t="s">
        <v>1083</v>
      </c>
    </row>
    <row r="859" spans="1:4" x14ac:dyDescent="0.25">
      <c r="A859">
        <v>37</v>
      </c>
      <c r="B859" t="s">
        <v>478</v>
      </c>
      <c r="C859">
        <v>20</v>
      </c>
      <c r="D859" t="s">
        <v>1084</v>
      </c>
    </row>
    <row r="860" spans="1:4" x14ac:dyDescent="0.25">
      <c r="A860">
        <v>37</v>
      </c>
      <c r="B860" t="s">
        <v>478</v>
      </c>
      <c r="C860">
        <v>21</v>
      </c>
      <c r="D860" t="s">
        <v>1085</v>
      </c>
    </row>
    <row r="861" spans="1:4" x14ac:dyDescent="0.25">
      <c r="A861">
        <v>37</v>
      </c>
      <c r="B861" t="s">
        <v>478</v>
      </c>
      <c r="C861">
        <v>24</v>
      </c>
      <c r="D861" t="s">
        <v>465</v>
      </c>
    </row>
    <row r="862" spans="1:4" x14ac:dyDescent="0.25">
      <c r="A862">
        <v>37</v>
      </c>
      <c r="B862" t="s">
        <v>478</v>
      </c>
      <c r="C862">
        <v>26</v>
      </c>
      <c r="D862" t="s">
        <v>467</v>
      </c>
    </row>
    <row r="863" spans="1:4" x14ac:dyDescent="0.25">
      <c r="A863">
        <v>37</v>
      </c>
      <c r="B863" t="s">
        <v>478</v>
      </c>
      <c r="C863">
        <v>27</v>
      </c>
      <c r="D863" t="s">
        <v>468</v>
      </c>
    </row>
    <row r="864" spans="1:4" x14ac:dyDescent="0.25">
      <c r="A864">
        <v>37</v>
      </c>
      <c r="B864" t="s">
        <v>478</v>
      </c>
      <c r="C864">
        <v>30</v>
      </c>
      <c r="D864" t="s">
        <v>471</v>
      </c>
    </row>
    <row r="865" spans="1:4" x14ac:dyDescent="0.25">
      <c r="A865">
        <v>37</v>
      </c>
      <c r="B865" t="s">
        <v>478</v>
      </c>
      <c r="C865">
        <v>32</v>
      </c>
      <c r="D865" t="s">
        <v>473</v>
      </c>
    </row>
    <row r="866" spans="1:4" x14ac:dyDescent="0.25">
      <c r="A866">
        <v>37</v>
      </c>
      <c r="B866" t="s">
        <v>478</v>
      </c>
      <c r="C866">
        <v>34</v>
      </c>
      <c r="D866" t="s">
        <v>475</v>
      </c>
    </row>
    <row r="867" spans="1:4" x14ac:dyDescent="0.25">
      <c r="A867">
        <v>37</v>
      </c>
      <c r="B867" t="s">
        <v>478</v>
      </c>
      <c r="C867">
        <v>35</v>
      </c>
      <c r="D867" t="s">
        <v>476</v>
      </c>
    </row>
    <row r="868" spans="1:4" x14ac:dyDescent="0.25">
      <c r="A868">
        <v>37</v>
      </c>
      <c r="B868" t="s">
        <v>478</v>
      </c>
      <c r="C868">
        <v>38</v>
      </c>
      <c r="D868" t="s">
        <v>479</v>
      </c>
    </row>
    <row r="869" spans="1:4" x14ac:dyDescent="0.25">
      <c r="A869">
        <v>37</v>
      </c>
      <c r="B869" t="s">
        <v>478</v>
      </c>
      <c r="C869">
        <v>39</v>
      </c>
      <c r="D869" t="s">
        <v>480</v>
      </c>
    </row>
    <row r="870" spans="1:4" x14ac:dyDescent="0.25">
      <c r="A870">
        <v>37</v>
      </c>
      <c r="B870" t="s">
        <v>478</v>
      </c>
      <c r="C870">
        <v>40</v>
      </c>
      <c r="D870" t="s">
        <v>481</v>
      </c>
    </row>
    <row r="871" spans="1:4" x14ac:dyDescent="0.25">
      <c r="A871">
        <v>37</v>
      </c>
      <c r="B871" t="s">
        <v>478</v>
      </c>
      <c r="C871">
        <v>41</v>
      </c>
      <c r="D871" t="s">
        <v>482</v>
      </c>
    </row>
    <row r="872" spans="1:4" x14ac:dyDescent="0.25">
      <c r="A872">
        <v>37</v>
      </c>
      <c r="B872" t="s">
        <v>478</v>
      </c>
      <c r="C872">
        <v>42</v>
      </c>
      <c r="D872" t="s">
        <v>483</v>
      </c>
    </row>
    <row r="873" spans="1:4" x14ac:dyDescent="0.25">
      <c r="A873">
        <v>38</v>
      </c>
      <c r="B873" t="s">
        <v>479</v>
      </c>
      <c r="C873">
        <v>3</v>
      </c>
      <c r="D873" t="s">
        <v>1070</v>
      </c>
    </row>
    <row r="874" spans="1:4" x14ac:dyDescent="0.25">
      <c r="A874">
        <v>38</v>
      </c>
      <c r="B874" t="s">
        <v>479</v>
      </c>
      <c r="C874">
        <v>4</v>
      </c>
      <c r="D874" t="s">
        <v>1071</v>
      </c>
    </row>
    <row r="875" spans="1:4" x14ac:dyDescent="0.25">
      <c r="A875">
        <v>38</v>
      </c>
      <c r="B875" t="s">
        <v>479</v>
      </c>
      <c r="C875">
        <v>11</v>
      </c>
      <c r="D875" t="s">
        <v>1075</v>
      </c>
    </row>
    <row r="876" spans="1:4" x14ac:dyDescent="0.25">
      <c r="A876">
        <v>38</v>
      </c>
      <c r="B876" t="s">
        <v>479</v>
      </c>
      <c r="C876">
        <v>14</v>
      </c>
      <c r="D876" t="s">
        <v>1078</v>
      </c>
    </row>
    <row r="877" spans="1:4" x14ac:dyDescent="0.25">
      <c r="A877">
        <v>38</v>
      </c>
      <c r="B877" t="s">
        <v>479</v>
      </c>
      <c r="C877">
        <v>15</v>
      </c>
      <c r="D877" t="s">
        <v>1079</v>
      </c>
    </row>
    <row r="878" spans="1:4" x14ac:dyDescent="0.25">
      <c r="A878">
        <v>38</v>
      </c>
      <c r="B878" t="s">
        <v>479</v>
      </c>
      <c r="C878">
        <v>16</v>
      </c>
      <c r="D878" t="s">
        <v>1080</v>
      </c>
    </row>
    <row r="879" spans="1:4" x14ac:dyDescent="0.25">
      <c r="A879">
        <v>38</v>
      </c>
      <c r="B879" t="s">
        <v>479</v>
      </c>
      <c r="C879">
        <v>17</v>
      </c>
      <c r="D879" t="s">
        <v>1081</v>
      </c>
    </row>
    <row r="880" spans="1:4" x14ac:dyDescent="0.25">
      <c r="A880">
        <v>38</v>
      </c>
      <c r="B880" t="s">
        <v>479</v>
      </c>
      <c r="C880">
        <v>18</v>
      </c>
      <c r="D880" t="s">
        <v>1082</v>
      </c>
    </row>
    <row r="881" spans="1:4" x14ac:dyDescent="0.25">
      <c r="A881">
        <v>38</v>
      </c>
      <c r="B881" t="s">
        <v>479</v>
      </c>
      <c r="C881">
        <v>20</v>
      </c>
      <c r="D881" t="s">
        <v>1084</v>
      </c>
    </row>
    <row r="882" spans="1:4" x14ac:dyDescent="0.25">
      <c r="A882">
        <v>38</v>
      </c>
      <c r="B882" t="s">
        <v>479</v>
      </c>
      <c r="C882">
        <v>21</v>
      </c>
      <c r="D882" t="s">
        <v>1085</v>
      </c>
    </row>
    <row r="883" spans="1:4" x14ac:dyDescent="0.25">
      <c r="A883">
        <v>38</v>
      </c>
      <c r="B883" t="s">
        <v>479</v>
      </c>
      <c r="C883">
        <v>25</v>
      </c>
      <c r="D883" t="s">
        <v>466</v>
      </c>
    </row>
    <row r="884" spans="1:4" x14ac:dyDescent="0.25">
      <c r="A884">
        <v>38</v>
      </c>
      <c r="B884" t="s">
        <v>479</v>
      </c>
      <c r="C884">
        <v>27</v>
      </c>
      <c r="D884" t="s">
        <v>468</v>
      </c>
    </row>
    <row r="885" spans="1:4" x14ac:dyDescent="0.25">
      <c r="A885">
        <v>38</v>
      </c>
      <c r="B885" t="s">
        <v>479</v>
      </c>
      <c r="C885">
        <v>28</v>
      </c>
      <c r="D885" t="s">
        <v>469</v>
      </c>
    </row>
    <row r="886" spans="1:4" x14ac:dyDescent="0.25">
      <c r="A886">
        <v>38</v>
      </c>
      <c r="B886" t="s">
        <v>479</v>
      </c>
      <c r="C886">
        <v>29</v>
      </c>
      <c r="D886" t="s">
        <v>470</v>
      </c>
    </row>
    <row r="887" spans="1:4" x14ac:dyDescent="0.25">
      <c r="A887">
        <v>38</v>
      </c>
      <c r="B887" t="s">
        <v>479</v>
      </c>
      <c r="C887">
        <v>30</v>
      </c>
      <c r="D887" t="s">
        <v>471</v>
      </c>
    </row>
    <row r="888" spans="1:4" x14ac:dyDescent="0.25">
      <c r="A888">
        <v>38</v>
      </c>
      <c r="B888" t="s">
        <v>479</v>
      </c>
      <c r="C888">
        <v>37</v>
      </c>
      <c r="D888" t="s">
        <v>478</v>
      </c>
    </row>
    <row r="889" spans="1:4" x14ac:dyDescent="0.25">
      <c r="A889">
        <v>38</v>
      </c>
      <c r="B889" t="s">
        <v>479</v>
      </c>
      <c r="C889">
        <v>40</v>
      </c>
      <c r="D889" t="s">
        <v>481</v>
      </c>
    </row>
    <row r="890" spans="1:4" x14ac:dyDescent="0.25">
      <c r="A890">
        <v>38</v>
      </c>
      <c r="B890" t="s">
        <v>479</v>
      </c>
      <c r="C890">
        <v>42</v>
      </c>
      <c r="D890" t="s">
        <v>483</v>
      </c>
    </row>
    <row r="891" spans="1:4" x14ac:dyDescent="0.25">
      <c r="A891">
        <v>38</v>
      </c>
      <c r="B891" t="s">
        <v>479</v>
      </c>
      <c r="C891">
        <v>43</v>
      </c>
      <c r="D891" t="s">
        <v>484</v>
      </c>
    </row>
    <row r="892" spans="1:4" x14ac:dyDescent="0.25">
      <c r="A892">
        <v>39</v>
      </c>
      <c r="B892" t="s">
        <v>480</v>
      </c>
      <c r="C892">
        <v>3</v>
      </c>
      <c r="D892" t="s">
        <v>1070</v>
      </c>
    </row>
    <row r="893" spans="1:4" x14ac:dyDescent="0.25">
      <c r="A893">
        <v>39</v>
      </c>
      <c r="B893" t="s">
        <v>480</v>
      </c>
      <c r="C893">
        <v>4</v>
      </c>
      <c r="D893" t="s">
        <v>1071</v>
      </c>
    </row>
    <row r="894" spans="1:4" x14ac:dyDescent="0.25">
      <c r="A894">
        <v>39</v>
      </c>
      <c r="B894" t="s">
        <v>480</v>
      </c>
      <c r="C894">
        <v>5</v>
      </c>
      <c r="D894" t="s">
        <v>460</v>
      </c>
    </row>
    <row r="895" spans="1:4" x14ac:dyDescent="0.25">
      <c r="A895">
        <v>39</v>
      </c>
      <c r="B895" t="s">
        <v>480</v>
      </c>
      <c r="C895">
        <v>6</v>
      </c>
      <c r="D895" t="s">
        <v>461</v>
      </c>
    </row>
    <row r="896" spans="1:4" x14ac:dyDescent="0.25">
      <c r="A896">
        <v>39</v>
      </c>
      <c r="B896" t="s">
        <v>480</v>
      </c>
      <c r="C896">
        <v>7</v>
      </c>
      <c r="D896" t="s">
        <v>462</v>
      </c>
    </row>
    <row r="897" spans="1:4" x14ac:dyDescent="0.25">
      <c r="A897">
        <v>39</v>
      </c>
      <c r="B897" t="s">
        <v>480</v>
      </c>
      <c r="C897">
        <v>8</v>
      </c>
      <c r="D897" t="s">
        <v>1072</v>
      </c>
    </row>
    <row r="898" spans="1:4" x14ac:dyDescent="0.25">
      <c r="A898">
        <v>39</v>
      </c>
      <c r="B898" t="s">
        <v>480</v>
      </c>
      <c r="C898">
        <v>9</v>
      </c>
      <c r="D898" t="s">
        <v>1073</v>
      </c>
    </row>
    <row r="899" spans="1:4" x14ac:dyDescent="0.25">
      <c r="A899">
        <v>39</v>
      </c>
      <c r="B899" t="s">
        <v>480</v>
      </c>
      <c r="C899">
        <v>10</v>
      </c>
      <c r="D899" t="s">
        <v>1074</v>
      </c>
    </row>
    <row r="900" spans="1:4" x14ac:dyDescent="0.25">
      <c r="A900">
        <v>39</v>
      </c>
      <c r="B900" t="s">
        <v>480</v>
      </c>
      <c r="C900">
        <v>12</v>
      </c>
      <c r="D900" t="s">
        <v>1076</v>
      </c>
    </row>
    <row r="901" spans="1:4" x14ac:dyDescent="0.25">
      <c r="A901">
        <v>39</v>
      </c>
      <c r="B901" t="s">
        <v>480</v>
      </c>
      <c r="C901">
        <v>13</v>
      </c>
      <c r="D901" t="s">
        <v>1077</v>
      </c>
    </row>
    <row r="902" spans="1:4" x14ac:dyDescent="0.25">
      <c r="A902">
        <v>39</v>
      </c>
      <c r="B902" t="s">
        <v>480</v>
      </c>
      <c r="C902">
        <v>14</v>
      </c>
      <c r="D902" t="s">
        <v>1078</v>
      </c>
    </row>
    <row r="903" spans="1:4" x14ac:dyDescent="0.25">
      <c r="A903">
        <v>39</v>
      </c>
      <c r="B903" t="s">
        <v>480</v>
      </c>
      <c r="C903">
        <v>15</v>
      </c>
      <c r="D903" t="s">
        <v>1079</v>
      </c>
    </row>
    <row r="904" spans="1:4" x14ac:dyDescent="0.25">
      <c r="A904">
        <v>39</v>
      </c>
      <c r="B904" t="s">
        <v>480</v>
      </c>
      <c r="C904">
        <v>16</v>
      </c>
      <c r="D904" t="s">
        <v>1080</v>
      </c>
    </row>
    <row r="905" spans="1:4" x14ac:dyDescent="0.25">
      <c r="A905">
        <v>39</v>
      </c>
      <c r="B905" t="s">
        <v>480</v>
      </c>
      <c r="C905">
        <v>17</v>
      </c>
      <c r="D905" t="s">
        <v>1081</v>
      </c>
    </row>
    <row r="906" spans="1:4" x14ac:dyDescent="0.25">
      <c r="A906">
        <v>39</v>
      </c>
      <c r="B906" t="s">
        <v>480</v>
      </c>
      <c r="C906">
        <v>20</v>
      </c>
      <c r="D906" t="s">
        <v>1084</v>
      </c>
    </row>
    <row r="907" spans="1:4" x14ac:dyDescent="0.25">
      <c r="A907">
        <v>39</v>
      </c>
      <c r="B907" t="s">
        <v>480</v>
      </c>
      <c r="C907">
        <v>21</v>
      </c>
      <c r="D907" t="s">
        <v>1085</v>
      </c>
    </row>
    <row r="908" spans="1:4" x14ac:dyDescent="0.25">
      <c r="A908">
        <v>39</v>
      </c>
      <c r="B908" t="s">
        <v>480</v>
      </c>
      <c r="C908">
        <v>25</v>
      </c>
      <c r="D908" t="s">
        <v>466</v>
      </c>
    </row>
    <row r="909" spans="1:4" x14ac:dyDescent="0.25">
      <c r="A909">
        <v>39</v>
      </c>
      <c r="B909" t="s">
        <v>480</v>
      </c>
      <c r="C909">
        <v>27</v>
      </c>
      <c r="D909" t="s">
        <v>468</v>
      </c>
    </row>
    <row r="910" spans="1:4" x14ac:dyDescent="0.25">
      <c r="A910">
        <v>39</v>
      </c>
      <c r="B910" t="s">
        <v>480</v>
      </c>
      <c r="C910">
        <v>28</v>
      </c>
      <c r="D910" t="s">
        <v>469</v>
      </c>
    </row>
    <row r="911" spans="1:4" x14ac:dyDescent="0.25">
      <c r="A911">
        <v>39</v>
      </c>
      <c r="B911" t="s">
        <v>480</v>
      </c>
      <c r="C911">
        <v>29</v>
      </c>
      <c r="D911" t="s">
        <v>470</v>
      </c>
    </row>
    <row r="912" spans="1:4" x14ac:dyDescent="0.25">
      <c r="A912">
        <v>39</v>
      </c>
      <c r="B912" t="s">
        <v>480</v>
      </c>
      <c r="C912">
        <v>30</v>
      </c>
      <c r="D912" t="s">
        <v>471</v>
      </c>
    </row>
    <row r="913" spans="1:4" x14ac:dyDescent="0.25">
      <c r="A913">
        <v>39</v>
      </c>
      <c r="B913" t="s">
        <v>480</v>
      </c>
      <c r="C913">
        <v>37</v>
      </c>
      <c r="D913" t="s">
        <v>478</v>
      </c>
    </row>
    <row r="914" spans="1:4" x14ac:dyDescent="0.25">
      <c r="A914">
        <v>39</v>
      </c>
      <c r="B914" t="s">
        <v>480</v>
      </c>
      <c r="C914">
        <v>41</v>
      </c>
      <c r="D914" t="s">
        <v>482</v>
      </c>
    </row>
    <row r="915" spans="1:4" x14ac:dyDescent="0.25">
      <c r="A915">
        <v>39</v>
      </c>
      <c r="B915" t="s">
        <v>480</v>
      </c>
      <c r="C915">
        <v>42</v>
      </c>
      <c r="D915" t="s">
        <v>483</v>
      </c>
    </row>
    <row r="916" spans="1:4" x14ac:dyDescent="0.25">
      <c r="A916">
        <v>39</v>
      </c>
      <c r="B916" t="s">
        <v>480</v>
      </c>
      <c r="C916">
        <v>43</v>
      </c>
      <c r="D916" t="s">
        <v>484</v>
      </c>
    </row>
    <row r="917" spans="1:4" x14ac:dyDescent="0.25">
      <c r="A917">
        <v>40</v>
      </c>
      <c r="B917" t="s">
        <v>481</v>
      </c>
      <c r="C917">
        <v>1</v>
      </c>
      <c r="D917" t="s">
        <v>1067</v>
      </c>
    </row>
    <row r="918" spans="1:4" x14ac:dyDescent="0.25">
      <c r="A918">
        <v>40</v>
      </c>
      <c r="B918" t="s">
        <v>481</v>
      </c>
      <c r="C918">
        <v>2</v>
      </c>
      <c r="D918" t="s">
        <v>1069</v>
      </c>
    </row>
    <row r="919" spans="1:4" x14ac:dyDescent="0.25">
      <c r="A919">
        <v>40</v>
      </c>
      <c r="B919" t="s">
        <v>481</v>
      </c>
      <c r="C919">
        <v>3</v>
      </c>
      <c r="D919" t="s">
        <v>1070</v>
      </c>
    </row>
    <row r="920" spans="1:4" x14ac:dyDescent="0.25">
      <c r="A920">
        <v>40</v>
      </c>
      <c r="B920" t="s">
        <v>481</v>
      </c>
      <c r="C920">
        <v>4</v>
      </c>
      <c r="D920" t="s">
        <v>1071</v>
      </c>
    </row>
    <row r="921" spans="1:4" x14ac:dyDescent="0.25">
      <c r="A921">
        <v>40</v>
      </c>
      <c r="B921" t="s">
        <v>481</v>
      </c>
      <c r="C921">
        <v>5</v>
      </c>
      <c r="D921" t="s">
        <v>460</v>
      </c>
    </row>
    <row r="922" spans="1:4" x14ac:dyDescent="0.25">
      <c r="A922">
        <v>40</v>
      </c>
      <c r="B922" t="s">
        <v>481</v>
      </c>
      <c r="C922">
        <v>6</v>
      </c>
      <c r="D922" t="s">
        <v>461</v>
      </c>
    </row>
    <row r="923" spans="1:4" x14ac:dyDescent="0.25">
      <c r="A923">
        <v>40</v>
      </c>
      <c r="B923" t="s">
        <v>481</v>
      </c>
      <c r="C923">
        <v>7</v>
      </c>
      <c r="D923" t="s">
        <v>462</v>
      </c>
    </row>
    <row r="924" spans="1:4" x14ac:dyDescent="0.25">
      <c r="A924">
        <v>40</v>
      </c>
      <c r="B924" t="s">
        <v>481</v>
      </c>
      <c r="C924">
        <v>8</v>
      </c>
      <c r="D924" t="s">
        <v>1072</v>
      </c>
    </row>
    <row r="925" spans="1:4" x14ac:dyDescent="0.25">
      <c r="A925">
        <v>40</v>
      </c>
      <c r="B925" t="s">
        <v>481</v>
      </c>
      <c r="C925">
        <v>9</v>
      </c>
      <c r="D925" t="s">
        <v>1073</v>
      </c>
    </row>
    <row r="926" spans="1:4" x14ac:dyDescent="0.25">
      <c r="A926">
        <v>40</v>
      </c>
      <c r="B926" t="s">
        <v>481</v>
      </c>
      <c r="C926">
        <v>10</v>
      </c>
      <c r="D926" t="s">
        <v>1074</v>
      </c>
    </row>
    <row r="927" spans="1:4" x14ac:dyDescent="0.25">
      <c r="A927">
        <v>40</v>
      </c>
      <c r="B927" t="s">
        <v>481</v>
      </c>
      <c r="C927">
        <v>12</v>
      </c>
      <c r="D927" t="s">
        <v>1076</v>
      </c>
    </row>
    <row r="928" spans="1:4" x14ac:dyDescent="0.25">
      <c r="A928">
        <v>40</v>
      </c>
      <c r="B928" t="s">
        <v>481</v>
      </c>
      <c r="C928">
        <v>13</v>
      </c>
      <c r="D928" t="s">
        <v>1077</v>
      </c>
    </row>
    <row r="929" spans="1:4" x14ac:dyDescent="0.25">
      <c r="A929">
        <v>40</v>
      </c>
      <c r="B929" t="s">
        <v>481</v>
      </c>
      <c r="C929">
        <v>14</v>
      </c>
      <c r="D929" t="s">
        <v>1078</v>
      </c>
    </row>
    <row r="930" spans="1:4" x14ac:dyDescent="0.25">
      <c r="A930">
        <v>40</v>
      </c>
      <c r="B930" t="s">
        <v>481</v>
      </c>
      <c r="C930">
        <v>15</v>
      </c>
      <c r="D930" t="s">
        <v>1079</v>
      </c>
    </row>
    <row r="931" spans="1:4" x14ac:dyDescent="0.25">
      <c r="A931">
        <v>40</v>
      </c>
      <c r="B931" t="s">
        <v>481</v>
      </c>
      <c r="C931">
        <v>16</v>
      </c>
      <c r="D931" t="s">
        <v>1080</v>
      </c>
    </row>
    <row r="932" spans="1:4" x14ac:dyDescent="0.25">
      <c r="A932">
        <v>40</v>
      </c>
      <c r="B932" t="s">
        <v>481</v>
      </c>
      <c r="C932">
        <v>17</v>
      </c>
      <c r="D932" t="s">
        <v>1081</v>
      </c>
    </row>
    <row r="933" spans="1:4" x14ac:dyDescent="0.25">
      <c r="A933">
        <v>40</v>
      </c>
      <c r="B933" t="s">
        <v>481</v>
      </c>
      <c r="C933">
        <v>20</v>
      </c>
      <c r="D933" t="s">
        <v>1084</v>
      </c>
    </row>
    <row r="934" spans="1:4" x14ac:dyDescent="0.25">
      <c r="A934">
        <v>40</v>
      </c>
      <c r="B934" t="s">
        <v>481</v>
      </c>
      <c r="C934">
        <v>21</v>
      </c>
      <c r="D934" t="s">
        <v>1085</v>
      </c>
    </row>
    <row r="935" spans="1:4" x14ac:dyDescent="0.25">
      <c r="A935">
        <v>40</v>
      </c>
      <c r="B935" t="s">
        <v>481</v>
      </c>
      <c r="C935">
        <v>25</v>
      </c>
      <c r="D935" t="s">
        <v>466</v>
      </c>
    </row>
    <row r="936" spans="1:4" x14ac:dyDescent="0.25">
      <c r="A936">
        <v>40</v>
      </c>
      <c r="B936" t="s">
        <v>481</v>
      </c>
      <c r="C936">
        <v>26</v>
      </c>
      <c r="D936" t="s">
        <v>467</v>
      </c>
    </row>
    <row r="937" spans="1:4" x14ac:dyDescent="0.25">
      <c r="A937">
        <v>40</v>
      </c>
      <c r="B937" t="s">
        <v>481</v>
      </c>
      <c r="C937">
        <v>27</v>
      </c>
      <c r="D937" t="s">
        <v>468</v>
      </c>
    </row>
    <row r="938" spans="1:4" x14ac:dyDescent="0.25">
      <c r="A938">
        <v>40</v>
      </c>
      <c r="B938" t="s">
        <v>481</v>
      </c>
      <c r="C938">
        <v>28</v>
      </c>
      <c r="D938" t="s">
        <v>469</v>
      </c>
    </row>
    <row r="939" spans="1:4" x14ac:dyDescent="0.25">
      <c r="A939">
        <v>40</v>
      </c>
      <c r="B939" t="s">
        <v>481</v>
      </c>
      <c r="C939">
        <v>29</v>
      </c>
      <c r="D939" t="s">
        <v>470</v>
      </c>
    </row>
    <row r="940" spans="1:4" x14ac:dyDescent="0.25">
      <c r="A940">
        <v>40</v>
      </c>
      <c r="B940" t="s">
        <v>481</v>
      </c>
      <c r="C940">
        <v>30</v>
      </c>
      <c r="D940" t="s">
        <v>471</v>
      </c>
    </row>
    <row r="941" spans="1:4" x14ac:dyDescent="0.25">
      <c r="A941">
        <v>40</v>
      </c>
      <c r="B941" t="s">
        <v>481</v>
      </c>
      <c r="C941">
        <v>35</v>
      </c>
      <c r="D941" t="s">
        <v>476</v>
      </c>
    </row>
    <row r="942" spans="1:4" x14ac:dyDescent="0.25">
      <c r="A942">
        <v>40</v>
      </c>
      <c r="B942" t="s">
        <v>481</v>
      </c>
      <c r="C942">
        <v>37</v>
      </c>
      <c r="D942" t="s">
        <v>478</v>
      </c>
    </row>
    <row r="943" spans="1:4" x14ac:dyDescent="0.25">
      <c r="A943">
        <v>40</v>
      </c>
      <c r="B943" t="s">
        <v>481</v>
      </c>
      <c r="C943">
        <v>38</v>
      </c>
      <c r="D943" t="s">
        <v>479</v>
      </c>
    </row>
    <row r="944" spans="1:4" x14ac:dyDescent="0.25">
      <c r="A944">
        <v>40</v>
      </c>
      <c r="B944" t="s">
        <v>481</v>
      </c>
      <c r="C944">
        <v>41</v>
      </c>
      <c r="D944" t="s">
        <v>482</v>
      </c>
    </row>
    <row r="945" spans="1:4" x14ac:dyDescent="0.25">
      <c r="A945">
        <v>40</v>
      </c>
      <c r="B945" t="s">
        <v>481</v>
      </c>
      <c r="C945">
        <v>42</v>
      </c>
      <c r="D945" t="s">
        <v>483</v>
      </c>
    </row>
    <row r="946" spans="1:4" x14ac:dyDescent="0.25">
      <c r="A946">
        <v>40</v>
      </c>
      <c r="B946" t="s">
        <v>481</v>
      </c>
      <c r="C946">
        <v>43</v>
      </c>
      <c r="D946" t="s">
        <v>484</v>
      </c>
    </row>
    <row r="947" spans="1:4" x14ac:dyDescent="0.25">
      <c r="A947">
        <v>41</v>
      </c>
      <c r="B947" t="s">
        <v>482</v>
      </c>
      <c r="C947">
        <v>3</v>
      </c>
      <c r="D947" t="s">
        <v>1070</v>
      </c>
    </row>
    <row r="948" spans="1:4" x14ac:dyDescent="0.25">
      <c r="A948">
        <v>41</v>
      </c>
      <c r="B948" t="s">
        <v>482</v>
      </c>
      <c r="C948">
        <v>4</v>
      </c>
      <c r="D948" t="s">
        <v>1071</v>
      </c>
    </row>
    <row r="949" spans="1:4" x14ac:dyDescent="0.25">
      <c r="A949">
        <v>41</v>
      </c>
      <c r="B949" t="s">
        <v>482</v>
      </c>
      <c r="C949">
        <v>11</v>
      </c>
      <c r="D949" t="s">
        <v>1075</v>
      </c>
    </row>
    <row r="950" spans="1:4" x14ac:dyDescent="0.25">
      <c r="A950">
        <v>41</v>
      </c>
      <c r="B950" t="s">
        <v>482</v>
      </c>
      <c r="C950">
        <v>14</v>
      </c>
      <c r="D950" t="s">
        <v>1078</v>
      </c>
    </row>
    <row r="951" spans="1:4" x14ac:dyDescent="0.25">
      <c r="A951">
        <v>41</v>
      </c>
      <c r="B951" t="s">
        <v>482</v>
      </c>
      <c r="C951">
        <v>15</v>
      </c>
      <c r="D951" t="s">
        <v>1079</v>
      </c>
    </row>
    <row r="952" spans="1:4" x14ac:dyDescent="0.25">
      <c r="A952">
        <v>41</v>
      </c>
      <c r="B952" t="s">
        <v>482</v>
      </c>
      <c r="C952">
        <v>16</v>
      </c>
      <c r="D952" t="s">
        <v>1080</v>
      </c>
    </row>
    <row r="953" spans="1:4" x14ac:dyDescent="0.25">
      <c r="A953">
        <v>41</v>
      </c>
      <c r="B953" t="s">
        <v>482</v>
      </c>
      <c r="C953">
        <v>17</v>
      </c>
      <c r="D953" t="s">
        <v>1081</v>
      </c>
    </row>
    <row r="954" spans="1:4" x14ac:dyDescent="0.25">
      <c r="A954">
        <v>41</v>
      </c>
      <c r="B954" t="s">
        <v>482</v>
      </c>
      <c r="C954">
        <v>18</v>
      </c>
      <c r="D954" t="s">
        <v>1082</v>
      </c>
    </row>
    <row r="955" spans="1:4" x14ac:dyDescent="0.25">
      <c r="A955">
        <v>41</v>
      </c>
      <c r="B955" t="s">
        <v>482</v>
      </c>
      <c r="C955">
        <v>20</v>
      </c>
      <c r="D955" t="s">
        <v>1084</v>
      </c>
    </row>
    <row r="956" spans="1:4" x14ac:dyDescent="0.25">
      <c r="A956">
        <v>41</v>
      </c>
      <c r="B956" t="s">
        <v>482</v>
      </c>
      <c r="C956">
        <v>21</v>
      </c>
      <c r="D956" t="s">
        <v>1085</v>
      </c>
    </row>
    <row r="957" spans="1:4" x14ac:dyDescent="0.25">
      <c r="A957">
        <v>41</v>
      </c>
      <c r="B957" t="s">
        <v>482</v>
      </c>
      <c r="C957">
        <v>25</v>
      </c>
      <c r="D957" t="s">
        <v>466</v>
      </c>
    </row>
    <row r="958" spans="1:4" x14ac:dyDescent="0.25">
      <c r="A958">
        <v>41</v>
      </c>
      <c r="B958" t="s">
        <v>482</v>
      </c>
      <c r="C958">
        <v>26</v>
      </c>
      <c r="D958" t="s">
        <v>467</v>
      </c>
    </row>
    <row r="959" spans="1:4" x14ac:dyDescent="0.25">
      <c r="A959">
        <v>41</v>
      </c>
      <c r="B959" t="s">
        <v>482</v>
      </c>
      <c r="C959">
        <v>27</v>
      </c>
      <c r="D959" t="s">
        <v>468</v>
      </c>
    </row>
    <row r="960" spans="1:4" x14ac:dyDescent="0.25">
      <c r="A960">
        <v>41</v>
      </c>
      <c r="B960" t="s">
        <v>482</v>
      </c>
      <c r="C960">
        <v>28</v>
      </c>
      <c r="D960" t="s">
        <v>469</v>
      </c>
    </row>
    <row r="961" spans="1:4" x14ac:dyDescent="0.25">
      <c r="A961">
        <v>41</v>
      </c>
      <c r="B961" t="s">
        <v>482</v>
      </c>
      <c r="C961">
        <v>29</v>
      </c>
      <c r="D961" t="s">
        <v>470</v>
      </c>
    </row>
    <row r="962" spans="1:4" x14ac:dyDescent="0.25">
      <c r="A962">
        <v>41</v>
      </c>
      <c r="B962" t="s">
        <v>482</v>
      </c>
      <c r="C962">
        <v>30</v>
      </c>
      <c r="D962" t="s">
        <v>471</v>
      </c>
    </row>
    <row r="963" spans="1:4" x14ac:dyDescent="0.25">
      <c r="A963">
        <v>41</v>
      </c>
      <c r="B963" t="s">
        <v>482</v>
      </c>
      <c r="C963">
        <v>31</v>
      </c>
      <c r="D963" t="s">
        <v>472</v>
      </c>
    </row>
    <row r="964" spans="1:4" x14ac:dyDescent="0.25">
      <c r="A964">
        <v>41</v>
      </c>
      <c r="B964" t="s">
        <v>482</v>
      </c>
      <c r="C964">
        <v>34</v>
      </c>
      <c r="D964" t="s">
        <v>475</v>
      </c>
    </row>
    <row r="965" spans="1:4" x14ac:dyDescent="0.25">
      <c r="A965">
        <v>41</v>
      </c>
      <c r="B965" t="s">
        <v>482</v>
      </c>
      <c r="C965">
        <v>35</v>
      </c>
      <c r="D965" t="s">
        <v>476</v>
      </c>
    </row>
    <row r="966" spans="1:4" x14ac:dyDescent="0.25">
      <c r="A966">
        <v>41</v>
      </c>
      <c r="B966" t="s">
        <v>482</v>
      </c>
      <c r="C966">
        <v>37</v>
      </c>
      <c r="D966" t="s">
        <v>478</v>
      </c>
    </row>
    <row r="967" spans="1:4" x14ac:dyDescent="0.25">
      <c r="A967">
        <v>41</v>
      </c>
      <c r="B967" t="s">
        <v>482</v>
      </c>
      <c r="C967">
        <v>39</v>
      </c>
      <c r="D967" t="s">
        <v>480</v>
      </c>
    </row>
    <row r="968" spans="1:4" x14ac:dyDescent="0.25">
      <c r="A968">
        <v>41</v>
      </c>
      <c r="B968" t="s">
        <v>482</v>
      </c>
      <c r="C968">
        <v>40</v>
      </c>
      <c r="D968" t="s">
        <v>481</v>
      </c>
    </row>
    <row r="969" spans="1:4" x14ac:dyDescent="0.25">
      <c r="A969">
        <v>41</v>
      </c>
      <c r="B969" t="s">
        <v>482</v>
      </c>
      <c r="C969">
        <v>42</v>
      </c>
      <c r="D969" t="s">
        <v>483</v>
      </c>
    </row>
    <row r="970" spans="1:4" x14ac:dyDescent="0.25">
      <c r="A970">
        <v>41</v>
      </c>
      <c r="B970" t="s">
        <v>482</v>
      </c>
      <c r="C970">
        <v>43</v>
      </c>
      <c r="D970" t="s">
        <v>484</v>
      </c>
    </row>
    <row r="971" spans="1:4" x14ac:dyDescent="0.25">
      <c r="A971">
        <v>42</v>
      </c>
      <c r="B971" t="s">
        <v>483</v>
      </c>
      <c r="C971">
        <v>4</v>
      </c>
      <c r="D971" t="s">
        <v>1071</v>
      </c>
    </row>
    <row r="972" spans="1:4" x14ac:dyDescent="0.25">
      <c r="A972">
        <v>42</v>
      </c>
      <c r="B972" t="s">
        <v>483</v>
      </c>
      <c r="C972">
        <v>5</v>
      </c>
      <c r="D972" t="s">
        <v>460</v>
      </c>
    </row>
    <row r="973" spans="1:4" x14ac:dyDescent="0.25">
      <c r="A973">
        <v>42</v>
      </c>
      <c r="B973" t="s">
        <v>483</v>
      </c>
      <c r="C973">
        <v>6</v>
      </c>
      <c r="D973" t="s">
        <v>461</v>
      </c>
    </row>
    <row r="974" spans="1:4" x14ac:dyDescent="0.25">
      <c r="A974">
        <v>42</v>
      </c>
      <c r="B974" t="s">
        <v>483</v>
      </c>
      <c r="C974">
        <v>8</v>
      </c>
      <c r="D974" t="s">
        <v>1072</v>
      </c>
    </row>
    <row r="975" spans="1:4" x14ac:dyDescent="0.25">
      <c r="A975">
        <v>42</v>
      </c>
      <c r="B975" t="s">
        <v>483</v>
      </c>
      <c r="C975">
        <v>9</v>
      </c>
      <c r="D975" t="s">
        <v>1073</v>
      </c>
    </row>
    <row r="976" spans="1:4" x14ac:dyDescent="0.25">
      <c r="A976">
        <v>42</v>
      </c>
      <c r="B976" t="s">
        <v>483</v>
      </c>
      <c r="C976">
        <v>10</v>
      </c>
      <c r="D976" t="s">
        <v>1074</v>
      </c>
    </row>
    <row r="977" spans="1:4" x14ac:dyDescent="0.25">
      <c r="A977">
        <v>42</v>
      </c>
      <c r="B977" t="s">
        <v>483</v>
      </c>
      <c r="C977">
        <v>11</v>
      </c>
      <c r="D977" t="s">
        <v>1075</v>
      </c>
    </row>
    <row r="978" spans="1:4" x14ac:dyDescent="0.25">
      <c r="A978">
        <v>42</v>
      </c>
      <c r="B978" t="s">
        <v>483</v>
      </c>
      <c r="C978">
        <v>12</v>
      </c>
      <c r="D978" t="s">
        <v>1076</v>
      </c>
    </row>
    <row r="979" spans="1:4" x14ac:dyDescent="0.25">
      <c r="A979">
        <v>42</v>
      </c>
      <c r="B979" t="s">
        <v>483</v>
      </c>
      <c r="C979">
        <v>13</v>
      </c>
      <c r="D979" t="s">
        <v>1077</v>
      </c>
    </row>
    <row r="980" spans="1:4" x14ac:dyDescent="0.25">
      <c r="A980">
        <v>42</v>
      </c>
      <c r="B980" t="s">
        <v>483</v>
      </c>
      <c r="C980">
        <v>17</v>
      </c>
      <c r="D980" t="s">
        <v>1081</v>
      </c>
    </row>
    <row r="981" spans="1:4" x14ac:dyDescent="0.25">
      <c r="A981">
        <v>42</v>
      </c>
      <c r="B981" t="s">
        <v>483</v>
      </c>
      <c r="C981">
        <v>18</v>
      </c>
      <c r="D981" t="s">
        <v>1082</v>
      </c>
    </row>
    <row r="982" spans="1:4" x14ac:dyDescent="0.25">
      <c r="A982">
        <v>42</v>
      </c>
      <c r="B982" t="s">
        <v>483</v>
      </c>
      <c r="C982">
        <v>19</v>
      </c>
      <c r="D982" t="s">
        <v>1083</v>
      </c>
    </row>
    <row r="983" spans="1:4" x14ac:dyDescent="0.25">
      <c r="A983">
        <v>42</v>
      </c>
      <c r="B983" t="s">
        <v>483</v>
      </c>
      <c r="C983">
        <v>22</v>
      </c>
      <c r="D983" t="s">
        <v>463</v>
      </c>
    </row>
    <row r="984" spans="1:4" x14ac:dyDescent="0.25">
      <c r="A984">
        <v>42</v>
      </c>
      <c r="B984" t="s">
        <v>483</v>
      </c>
      <c r="C984">
        <v>23</v>
      </c>
      <c r="D984" t="s">
        <v>464</v>
      </c>
    </row>
    <row r="985" spans="1:4" x14ac:dyDescent="0.25">
      <c r="A985">
        <v>42</v>
      </c>
      <c r="B985" t="s">
        <v>483</v>
      </c>
      <c r="C985">
        <v>24</v>
      </c>
      <c r="D985" t="s">
        <v>465</v>
      </c>
    </row>
    <row r="986" spans="1:4" x14ac:dyDescent="0.25">
      <c r="A986">
        <v>42</v>
      </c>
      <c r="B986" t="s">
        <v>483</v>
      </c>
      <c r="C986">
        <v>28</v>
      </c>
      <c r="D986" t="s">
        <v>469</v>
      </c>
    </row>
    <row r="987" spans="1:4" x14ac:dyDescent="0.25">
      <c r="A987">
        <v>42</v>
      </c>
      <c r="B987" t="s">
        <v>483</v>
      </c>
      <c r="C987">
        <v>29</v>
      </c>
      <c r="D987" t="s">
        <v>470</v>
      </c>
    </row>
    <row r="988" spans="1:4" x14ac:dyDescent="0.25">
      <c r="A988">
        <v>42</v>
      </c>
      <c r="B988" t="s">
        <v>483</v>
      </c>
      <c r="C988">
        <v>31</v>
      </c>
      <c r="D988" t="s">
        <v>472</v>
      </c>
    </row>
    <row r="989" spans="1:4" x14ac:dyDescent="0.25">
      <c r="A989">
        <v>42</v>
      </c>
      <c r="B989" t="s">
        <v>483</v>
      </c>
      <c r="C989">
        <v>32</v>
      </c>
      <c r="D989" t="s">
        <v>473</v>
      </c>
    </row>
    <row r="990" spans="1:4" x14ac:dyDescent="0.25">
      <c r="A990">
        <v>42</v>
      </c>
      <c r="B990" t="s">
        <v>483</v>
      </c>
      <c r="C990">
        <v>33</v>
      </c>
      <c r="D990" t="s">
        <v>474</v>
      </c>
    </row>
    <row r="991" spans="1:4" x14ac:dyDescent="0.25">
      <c r="A991">
        <v>42</v>
      </c>
      <c r="B991" t="s">
        <v>483</v>
      </c>
      <c r="C991">
        <v>34</v>
      </c>
      <c r="D991" t="s">
        <v>475</v>
      </c>
    </row>
    <row r="992" spans="1:4" x14ac:dyDescent="0.25">
      <c r="A992">
        <v>42</v>
      </c>
      <c r="B992" t="s">
        <v>483</v>
      </c>
      <c r="C992">
        <v>36</v>
      </c>
      <c r="D992" t="s">
        <v>477</v>
      </c>
    </row>
    <row r="993" spans="1:4" x14ac:dyDescent="0.25">
      <c r="A993">
        <v>42</v>
      </c>
      <c r="B993" t="s">
        <v>483</v>
      </c>
      <c r="C993">
        <v>37</v>
      </c>
      <c r="D993" t="s">
        <v>478</v>
      </c>
    </row>
    <row r="994" spans="1:4" x14ac:dyDescent="0.25">
      <c r="A994">
        <v>42</v>
      </c>
      <c r="B994" t="s">
        <v>483</v>
      </c>
      <c r="C994">
        <v>38</v>
      </c>
      <c r="D994" t="s">
        <v>479</v>
      </c>
    </row>
    <row r="995" spans="1:4" x14ac:dyDescent="0.25">
      <c r="A995">
        <v>42</v>
      </c>
      <c r="B995" t="s">
        <v>483</v>
      </c>
      <c r="C995">
        <v>39</v>
      </c>
      <c r="D995" t="s">
        <v>480</v>
      </c>
    </row>
    <row r="996" spans="1:4" x14ac:dyDescent="0.25">
      <c r="A996">
        <v>42</v>
      </c>
      <c r="B996" t="s">
        <v>483</v>
      </c>
      <c r="C996">
        <v>40</v>
      </c>
      <c r="D996" t="s">
        <v>481</v>
      </c>
    </row>
    <row r="997" spans="1:4" x14ac:dyDescent="0.25">
      <c r="A997">
        <v>42</v>
      </c>
      <c r="B997" t="s">
        <v>483</v>
      </c>
      <c r="C997">
        <v>41</v>
      </c>
      <c r="D997" t="s">
        <v>482</v>
      </c>
    </row>
    <row r="998" spans="1:4" x14ac:dyDescent="0.25">
      <c r="A998">
        <v>42</v>
      </c>
      <c r="B998" t="s">
        <v>483</v>
      </c>
      <c r="C998">
        <v>43</v>
      </c>
      <c r="D998" t="s">
        <v>484</v>
      </c>
    </row>
    <row r="999" spans="1:4" x14ac:dyDescent="0.25">
      <c r="A999">
        <v>43</v>
      </c>
      <c r="B999" t="s">
        <v>484</v>
      </c>
      <c r="C999">
        <v>1</v>
      </c>
      <c r="D999" t="s">
        <v>1067</v>
      </c>
    </row>
    <row r="1000" spans="1:4" x14ac:dyDescent="0.25">
      <c r="A1000">
        <v>43</v>
      </c>
      <c r="B1000" t="s">
        <v>484</v>
      </c>
      <c r="C1000">
        <v>2</v>
      </c>
      <c r="D1000" t="s">
        <v>1069</v>
      </c>
    </row>
    <row r="1001" spans="1:4" x14ac:dyDescent="0.25">
      <c r="A1001">
        <v>43</v>
      </c>
      <c r="B1001" t="s">
        <v>484</v>
      </c>
      <c r="C1001">
        <v>3</v>
      </c>
      <c r="D1001" t="s">
        <v>1070</v>
      </c>
    </row>
    <row r="1002" spans="1:4" x14ac:dyDescent="0.25">
      <c r="A1002">
        <v>43</v>
      </c>
      <c r="B1002" t="s">
        <v>484</v>
      </c>
      <c r="C1002">
        <v>4</v>
      </c>
      <c r="D1002" t="s">
        <v>1071</v>
      </c>
    </row>
    <row r="1003" spans="1:4" x14ac:dyDescent="0.25">
      <c r="A1003">
        <v>43</v>
      </c>
      <c r="B1003" t="s">
        <v>484</v>
      </c>
      <c r="C1003">
        <v>8</v>
      </c>
      <c r="D1003" t="s">
        <v>1072</v>
      </c>
    </row>
    <row r="1004" spans="1:4" x14ac:dyDescent="0.25">
      <c r="A1004">
        <v>43</v>
      </c>
      <c r="B1004" t="s">
        <v>484</v>
      </c>
      <c r="C1004">
        <v>10</v>
      </c>
      <c r="D1004" t="s">
        <v>1074</v>
      </c>
    </row>
    <row r="1005" spans="1:4" x14ac:dyDescent="0.25">
      <c r="A1005">
        <v>43</v>
      </c>
      <c r="B1005" t="s">
        <v>484</v>
      </c>
      <c r="C1005">
        <v>11</v>
      </c>
      <c r="D1005" t="s">
        <v>1075</v>
      </c>
    </row>
    <row r="1006" spans="1:4" x14ac:dyDescent="0.25">
      <c r="A1006">
        <v>43</v>
      </c>
      <c r="B1006" t="s">
        <v>484</v>
      </c>
      <c r="C1006">
        <v>14</v>
      </c>
      <c r="D1006" t="s">
        <v>1078</v>
      </c>
    </row>
    <row r="1007" spans="1:4" x14ac:dyDescent="0.25">
      <c r="A1007">
        <v>43</v>
      </c>
      <c r="B1007" t="s">
        <v>484</v>
      </c>
      <c r="C1007">
        <v>15</v>
      </c>
      <c r="D1007" t="s">
        <v>1079</v>
      </c>
    </row>
    <row r="1008" spans="1:4" x14ac:dyDescent="0.25">
      <c r="A1008">
        <v>43</v>
      </c>
      <c r="B1008" t="s">
        <v>484</v>
      </c>
      <c r="C1008">
        <v>16</v>
      </c>
      <c r="D1008" t="s">
        <v>1080</v>
      </c>
    </row>
    <row r="1009" spans="1:4" x14ac:dyDescent="0.25">
      <c r="A1009">
        <v>43</v>
      </c>
      <c r="B1009" t="s">
        <v>484</v>
      </c>
      <c r="C1009">
        <v>17</v>
      </c>
      <c r="D1009" t="s">
        <v>1081</v>
      </c>
    </row>
    <row r="1010" spans="1:4" x14ac:dyDescent="0.25">
      <c r="A1010">
        <v>43</v>
      </c>
      <c r="B1010" t="s">
        <v>484</v>
      </c>
      <c r="C1010">
        <v>18</v>
      </c>
      <c r="D1010" t="s">
        <v>1082</v>
      </c>
    </row>
    <row r="1011" spans="1:4" x14ac:dyDescent="0.25">
      <c r="A1011">
        <v>43</v>
      </c>
      <c r="B1011" t="s">
        <v>484</v>
      </c>
      <c r="C1011">
        <v>19</v>
      </c>
      <c r="D1011" t="s">
        <v>1083</v>
      </c>
    </row>
    <row r="1012" spans="1:4" x14ac:dyDescent="0.25">
      <c r="A1012">
        <v>43</v>
      </c>
      <c r="B1012" t="s">
        <v>484</v>
      </c>
      <c r="C1012">
        <v>20</v>
      </c>
      <c r="D1012" t="s">
        <v>1084</v>
      </c>
    </row>
    <row r="1013" spans="1:4" x14ac:dyDescent="0.25">
      <c r="A1013">
        <v>43</v>
      </c>
      <c r="B1013" t="s">
        <v>484</v>
      </c>
      <c r="C1013">
        <v>21</v>
      </c>
      <c r="D1013" t="s">
        <v>1085</v>
      </c>
    </row>
    <row r="1014" spans="1:4" x14ac:dyDescent="0.25">
      <c r="A1014">
        <v>43</v>
      </c>
      <c r="B1014" t="s">
        <v>484</v>
      </c>
      <c r="C1014">
        <v>24</v>
      </c>
      <c r="D1014" t="s">
        <v>465</v>
      </c>
    </row>
    <row r="1015" spans="1:4" x14ac:dyDescent="0.25">
      <c r="A1015">
        <v>43</v>
      </c>
      <c r="B1015" t="s">
        <v>484</v>
      </c>
      <c r="C1015">
        <v>25</v>
      </c>
      <c r="D1015" t="s">
        <v>466</v>
      </c>
    </row>
    <row r="1016" spans="1:4" x14ac:dyDescent="0.25">
      <c r="A1016">
        <v>43</v>
      </c>
      <c r="B1016" t="s">
        <v>484</v>
      </c>
      <c r="C1016">
        <v>26</v>
      </c>
      <c r="D1016" t="s">
        <v>467</v>
      </c>
    </row>
    <row r="1017" spans="1:4" x14ac:dyDescent="0.25">
      <c r="A1017">
        <v>43</v>
      </c>
      <c r="B1017" t="s">
        <v>484</v>
      </c>
      <c r="C1017">
        <v>27</v>
      </c>
      <c r="D1017" t="s">
        <v>468</v>
      </c>
    </row>
    <row r="1018" spans="1:4" x14ac:dyDescent="0.25">
      <c r="A1018">
        <v>43</v>
      </c>
      <c r="B1018" t="s">
        <v>484</v>
      </c>
      <c r="C1018">
        <v>30</v>
      </c>
      <c r="D1018" t="s">
        <v>471</v>
      </c>
    </row>
    <row r="1019" spans="1:4" x14ac:dyDescent="0.25">
      <c r="A1019">
        <v>43</v>
      </c>
      <c r="B1019" t="s">
        <v>484</v>
      </c>
      <c r="C1019">
        <v>31</v>
      </c>
      <c r="D1019" t="s">
        <v>472</v>
      </c>
    </row>
    <row r="1020" spans="1:4" x14ac:dyDescent="0.25">
      <c r="A1020">
        <v>43</v>
      </c>
      <c r="B1020" t="s">
        <v>484</v>
      </c>
      <c r="C1020">
        <v>32</v>
      </c>
      <c r="D1020" t="s">
        <v>473</v>
      </c>
    </row>
    <row r="1021" spans="1:4" x14ac:dyDescent="0.25">
      <c r="A1021">
        <v>43</v>
      </c>
      <c r="B1021" t="s">
        <v>484</v>
      </c>
      <c r="C1021">
        <v>34</v>
      </c>
      <c r="D1021" t="s">
        <v>475</v>
      </c>
    </row>
    <row r="1022" spans="1:4" x14ac:dyDescent="0.25">
      <c r="A1022">
        <v>43</v>
      </c>
      <c r="B1022" t="s">
        <v>484</v>
      </c>
      <c r="C1022">
        <v>35</v>
      </c>
      <c r="D1022" t="s">
        <v>476</v>
      </c>
    </row>
    <row r="1023" spans="1:4" x14ac:dyDescent="0.25">
      <c r="A1023">
        <v>43</v>
      </c>
      <c r="B1023" t="s">
        <v>484</v>
      </c>
      <c r="C1023">
        <v>38</v>
      </c>
      <c r="D1023" t="s">
        <v>479</v>
      </c>
    </row>
    <row r="1024" spans="1:4" x14ac:dyDescent="0.25">
      <c r="A1024">
        <v>43</v>
      </c>
      <c r="B1024" t="s">
        <v>484</v>
      </c>
      <c r="C1024">
        <v>39</v>
      </c>
      <c r="D1024" t="s">
        <v>480</v>
      </c>
    </row>
    <row r="1025" spans="1:4" x14ac:dyDescent="0.25">
      <c r="A1025">
        <v>43</v>
      </c>
      <c r="B1025" t="s">
        <v>484</v>
      </c>
      <c r="C1025">
        <v>40</v>
      </c>
      <c r="D1025" t="s">
        <v>481</v>
      </c>
    </row>
    <row r="1026" spans="1:4" x14ac:dyDescent="0.25">
      <c r="A1026">
        <v>43</v>
      </c>
      <c r="B1026" t="s">
        <v>484</v>
      </c>
      <c r="C1026">
        <v>41</v>
      </c>
      <c r="D1026" t="s">
        <v>482</v>
      </c>
    </row>
    <row r="1027" spans="1:4" x14ac:dyDescent="0.25">
      <c r="A1027">
        <v>43</v>
      </c>
      <c r="B1027" t="s">
        <v>484</v>
      </c>
      <c r="C1027">
        <v>42</v>
      </c>
      <c r="D1027" t="s">
        <v>483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Indice</vt:lpstr>
      <vt:lpstr>Incomp</vt:lpstr>
      <vt:lpstr>diccionario</vt:lpstr>
      <vt:lpstr>Configuración</vt:lpstr>
      <vt:lpstr>Configuración 2</vt:lpstr>
      <vt:lpstr>Configuración 3</vt:lpstr>
      <vt:lpstr>diccionarioold</vt:lpstr>
      <vt:lpstr>datos puesto</vt:lpstr>
      <vt:lpstr>tarea</vt:lpstr>
      <vt:lpstr>Riesgos</vt:lpstr>
      <vt:lpstr>Datos</vt:lpstr>
      <vt:lpstr>P.E.R.</vt:lpstr>
      <vt:lpstr>Datos comp</vt:lpstr>
      <vt:lpstr>ValorOcra</vt:lpstr>
      <vt:lpstr>Chequeos</vt:lpstr>
      <vt:lpstr>Combinaciones</vt:lpstr>
      <vt:lpstr>Combinaciones 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simicom</dc:creator>
  <cp:lastModifiedBy>Usuario de Windows</cp:lastModifiedBy>
  <cp:lastPrinted>2024-10-21T01:03:28Z</cp:lastPrinted>
  <dcterms:created xsi:type="dcterms:W3CDTF">2024-10-20T19:24:12Z</dcterms:created>
  <dcterms:modified xsi:type="dcterms:W3CDTF">2024-11-17T20:49:22Z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GroupControls" visible="true"/>
        <mso:control idQ="mso:GroupCode" visible="true"/>
        <mso:control idQ="mso:ViewCode" visible="true"/>
        <mso:control idQ="mso:MacroRecord" visible="true"/>
      </mso:documentControls>
    </mso:qat>
  </mso:ribbon>
</mso:customUI>
</file>